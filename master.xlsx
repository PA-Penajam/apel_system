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Home/moohard/Kerjaan-Kepegawaian/apel-app/"/>
    </mc:Choice>
  </mc:AlternateContent>
  <xr:revisionPtr revIDLastSave="0" documentId="13_ncr:1_{26A57BF1-B2C4-0A4A-BD36-E7CDA4801E0E}" xr6:coauthVersionLast="47" xr6:coauthVersionMax="47" xr10:uidLastSave="{00000000-0000-0000-0000-000000000000}"/>
  <bookViews>
    <workbookView xWindow="0" yWindow="600" windowWidth="29040" windowHeight="15840" activeTab="1" xr2:uid="{00000000-000D-0000-FFFF-FFFF00000000}"/>
  </bookViews>
  <sheets>
    <sheet name="Data" sheetId="4" r:id="rId1"/>
    <sheet name="master-pegawai" sheetId="6" r:id="rId2"/>
    <sheet name="SPPD LMBAR 1" sheetId="2" r:id="rId3"/>
    <sheet name="SPPD LEMBAR 2" sheetId="3" r:id="rId4"/>
    <sheet name="BLANKO ISIAN" sheetId="1" r:id="rId5"/>
  </sheets>
  <externalReferences>
    <externalReference r:id="rId6"/>
  </externalReferences>
  <definedNames>
    <definedName name="ExternalData_1" localSheetId="1" hidden="1">'master-pegawai'!$A$1:$G$31</definedName>
    <definedName name="ID">'BLANKO ISIAN'!$C$13</definedName>
    <definedName name="_xlnm.Print_Area" localSheetId="3">'SPPD LEMBAR 2'!$A$1:$L$66</definedName>
    <definedName name="_xlnm.Print_Area" localSheetId="2">'SPPD LMBAR 1'!$A$1:$L$49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6" i="2" l="1"/>
  <c r="J9" i="2"/>
  <c r="K10" i="2"/>
  <c r="J11" i="2"/>
  <c r="E18" i="2"/>
  <c r="F19" i="2"/>
  <c r="F20" i="2"/>
  <c r="G6" i="3"/>
  <c r="P24" i="3"/>
  <c r="P23" i="3"/>
  <c r="P19" i="3"/>
  <c r="P18" i="3"/>
  <c r="P6" i="3"/>
  <c r="E15" i="2" l="1"/>
  <c r="F37" i="2" l="1"/>
  <c r="J41" i="2"/>
  <c r="F28" i="2"/>
  <c r="I3" i="3"/>
  <c r="I2" i="3"/>
  <c r="J40" i="2"/>
  <c r="G62" i="3"/>
  <c r="B62" i="3"/>
  <c r="G61" i="3"/>
  <c r="B61" i="3"/>
  <c r="G55" i="3"/>
  <c r="B56" i="3"/>
  <c r="G56" i="3" s="1"/>
  <c r="G53" i="3"/>
  <c r="I1" i="3"/>
  <c r="D50" i="3" s="1"/>
  <c r="F36" i="2"/>
  <c r="J34" i="2"/>
  <c r="J33" i="2"/>
  <c r="J32" i="2"/>
  <c r="E24" i="2"/>
  <c r="E34" i="2"/>
  <c r="E33" i="2"/>
  <c r="E32" i="2"/>
  <c r="C34" i="2"/>
  <c r="C33" i="2"/>
  <c r="C32" i="2"/>
  <c r="J31" i="2"/>
  <c r="E31" i="2"/>
  <c r="C31" i="2"/>
  <c r="F29" i="2"/>
  <c r="F27" i="2"/>
  <c r="F26" i="2"/>
  <c r="F25" i="2"/>
  <c r="H23" i="2"/>
  <c r="H22" i="2"/>
  <c r="F21" i="2"/>
  <c r="E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287319-A7F4-4CB1-A3EF-3223A0132B2B}" keepAlive="1" name="Query - 1198505092009041006FATTAHURRIDLO AL GHANY, S H I     - 1198505092009041006FATTAH" description="Connection to the '1198505092009041006FATTAHURRIDLO AL GHANY, S H I     - 1198505092009041006FATTAH' query in the workbook." type="5" refreshedVersion="8" background="1" saveData="1">
    <dbPr connection="Provider=Microsoft.Mashup.OleDb.1;Data Source=$Workbook$;Location=&quot;1198505092009041006FATTAHURRIDLO AL GHANY, S H I     - 1198505092009041006FATTAH&quot;;Extended Properties=&quot;&quot;" command="SELECT * FROM [1198505092009041006FATTAHURRIDLO AL GHANY, S H I     - 1198505092009041006FATTAH]"/>
  </connection>
</connections>
</file>

<file path=xl/sharedStrings.xml><?xml version="1.0" encoding="utf-8"?>
<sst xmlns="http://schemas.openxmlformats.org/spreadsheetml/2006/main" count="689" uniqueCount="341">
  <si>
    <t>Lembar ke</t>
  </si>
  <si>
    <t>Kode No</t>
  </si>
  <si>
    <t>Nomor</t>
  </si>
  <si>
    <t>1.</t>
  </si>
  <si>
    <t>2.</t>
  </si>
  <si>
    <t>3.</t>
  </si>
  <si>
    <t>a.</t>
  </si>
  <si>
    <t>Pangkat dan golongan ruang gaji menurut PP No.6 Tahun 1997</t>
  </si>
  <si>
    <t>b.</t>
  </si>
  <si>
    <t>Jabatan/Instansi</t>
  </si>
  <si>
    <t>c.</t>
  </si>
  <si>
    <t>Tingkat menurut peraturan perjalanan dinas</t>
  </si>
  <si>
    <t>4.</t>
  </si>
  <si>
    <t>Maksud perjalanan dinas</t>
  </si>
  <si>
    <t>Berangkat ke</t>
  </si>
  <si>
    <t>dalam rangka</t>
  </si>
  <si>
    <t>5.</t>
  </si>
  <si>
    <t>Alat angkut yang dipergunakan</t>
  </si>
  <si>
    <t>6.</t>
  </si>
  <si>
    <t>7.</t>
  </si>
  <si>
    <t>Tempat berangkat</t>
  </si>
  <si>
    <t>Tempat tujuan</t>
  </si>
  <si>
    <t>Lamanya perjalanan dinas</t>
  </si>
  <si>
    <t>Tanggal berangkat</t>
  </si>
  <si>
    <t>Tanggal harus kembali/tiba ditempat baru*)</t>
  </si>
  <si>
    <t>Hari</t>
  </si>
  <si>
    <t>8.</t>
  </si>
  <si>
    <t xml:space="preserve">Nama pengikut :                                 </t>
  </si>
  <si>
    <t>Tanggal Lahir</t>
  </si>
  <si>
    <t>Keterangan</t>
  </si>
  <si>
    <t>9.</t>
  </si>
  <si>
    <t>Pembebanan anggaran :</t>
  </si>
  <si>
    <t>Instansi</t>
  </si>
  <si>
    <t>Mata Anggaran</t>
  </si>
  <si>
    <t>10.</t>
  </si>
  <si>
    <t>Keterangan lain-lain :</t>
  </si>
  <si>
    <t>:</t>
  </si>
  <si>
    <t>Dikeluarkan di</t>
  </si>
  <si>
    <t>Tanggal</t>
  </si>
  <si>
    <t>BLANKO ISIAN SPPD</t>
  </si>
  <si>
    <t>NO</t>
  </si>
  <si>
    <t>PERIHAL</t>
  </si>
  <si>
    <t>ISIAN</t>
  </si>
  <si>
    <t>Kode SPPD No</t>
  </si>
  <si>
    <t>Lembar SPPD ke</t>
  </si>
  <si>
    <t>Nama pejabat berwenang yang memberi perintah</t>
  </si>
  <si>
    <t>Dalam rangka</t>
  </si>
  <si>
    <t>Tanggal keberangkatan</t>
  </si>
  <si>
    <t>Tanggal harus kembali</t>
  </si>
  <si>
    <t>Nama Pengikut</t>
  </si>
  <si>
    <t>tanggal lahir</t>
  </si>
  <si>
    <t>keterangan</t>
  </si>
  <si>
    <t>*</t>
  </si>
  <si>
    <t>Pembebanan anggaran pada</t>
  </si>
  <si>
    <t>NIP</t>
  </si>
  <si>
    <t>Pejabat yang mengeluarkan</t>
  </si>
  <si>
    <t>Berangkat dari (tempat kedudukan)</t>
  </si>
  <si>
    <t>II</t>
  </si>
  <si>
    <t>Tiba di</t>
  </si>
  <si>
    <t>pada tanggal</t>
  </si>
  <si>
    <t>Berangkat dari</t>
  </si>
  <si>
    <t>Ke</t>
  </si>
  <si>
    <t>Pada tanggal</t>
  </si>
  <si>
    <t>I</t>
  </si>
  <si>
    <t>ke</t>
  </si>
  <si>
    <t>Tiba tempat tujuan 1 di</t>
  </si>
  <si>
    <t>Berangkat dari tujuan 1 di</t>
  </si>
  <si>
    <t>ke tempat tujuan berikutnya</t>
  </si>
  <si>
    <t>-.Jabatan penandatangan tempat yang dituju</t>
  </si>
  <si>
    <t>-.Nama Satker</t>
  </si>
  <si>
    <t>Penanda tangan satker yg dituju</t>
  </si>
  <si>
    <t>III</t>
  </si>
  <si>
    <t>IV</t>
  </si>
  <si>
    <t>V</t>
  </si>
  <si>
    <t>(tempat kedudukan)</t>
  </si>
  <si>
    <t>Pejabat yang memberi perintah:</t>
  </si>
  <si>
    <t>Telah diperiksa dengan keterangan bahwa perjalanan -</t>
  </si>
  <si>
    <t>tersebut diatas benar dilakukan atas perintahnya dan</t>
  </si>
  <si>
    <t>semata-mata untuk kepentinganjabatandalam waktu yang</t>
  </si>
  <si>
    <t>sesingkat-singkatnya.</t>
  </si>
  <si>
    <t>Catatan lain-lain :</t>
  </si>
  <si>
    <t>VI.</t>
  </si>
  <si>
    <t>VII.</t>
  </si>
  <si>
    <t>PERHATIAN</t>
  </si>
  <si>
    <t>Pejabat yang berwenang menerbitkan SPPD, pegawai yang melakukan perjalanan dinas, para pejabat yang mengesahkan tanggal berangkat/tiba serta bendaharawan bertanggung jawab berdasarkan peraturan-peraturan Keuangan Negara apabila negara menderita kerugian akibat kesalahan,kelalaian dan kealpaannya.</t>
  </si>
  <si>
    <t>Nama / NIP Pegawai yang melaksanakan perjalanan dinas</t>
  </si>
  <si>
    <t>Nama KUASA PENGGUNA ANGGARAN</t>
  </si>
  <si>
    <t>Akun</t>
  </si>
  <si>
    <t>PEJABAT PEMBUAT KOMITMEN,</t>
  </si>
  <si>
    <t>NIP.</t>
  </si>
  <si>
    <t>PEJABAT PEMBUAT KOMITMEN</t>
  </si>
  <si>
    <t>Tiba tempat tujuan 2 di</t>
  </si>
  <si>
    <t>Berangkat dari tujuan 2 di</t>
  </si>
  <si>
    <t>SURAT PERJALANAN DINAS</t>
  </si>
  <si>
    <t xml:space="preserve">Pada Tanggal </t>
  </si>
  <si>
    <t xml:space="preserve">PEJABAT PEMBUAT KOMITMEN, </t>
  </si>
  <si>
    <t>PENGADILAN AGAMA PENAJAM</t>
  </si>
  <si>
    <t>Penajam</t>
  </si>
  <si>
    <t xml:space="preserve">Pengadilan Agama Penajam </t>
  </si>
  <si>
    <t>Pengadilan Agama Penajam</t>
  </si>
  <si>
    <t>Pejabat Pembuat Komitmen Pengadilan Agama Penajam</t>
  </si>
  <si>
    <t>Pejabat Pembuat Komitmen</t>
  </si>
  <si>
    <t>Muhammad Zaim Noor, S.H.</t>
  </si>
  <si>
    <t>NIP. 19880202 200805 1 001</t>
  </si>
  <si>
    <t>Tingkat C</t>
  </si>
  <si>
    <t>Jakarta</t>
  </si>
  <si>
    <t>21 Maret 2021</t>
  </si>
  <si>
    <t>23 Maret 2021</t>
  </si>
  <si>
    <t>Penata Muda / III/a</t>
  </si>
  <si>
    <t>Angkutan Darat dan Laut</t>
  </si>
  <si>
    <t>INDRA YANITA YULIANA, S.E., M.Si.
NIP.198301042006042003</t>
  </si>
  <si>
    <t>Sekretaris</t>
  </si>
  <si>
    <t>(nip)</t>
  </si>
  <si>
    <t>Nama</t>
  </si>
  <si>
    <t>Jabatan</t>
  </si>
  <si>
    <t>Ketua</t>
  </si>
  <si>
    <t>Wakil Ketua</t>
  </si>
  <si>
    <t>Hakim</t>
  </si>
  <si>
    <t>Panitera</t>
  </si>
  <si>
    <t>Panitera Muda Hukum</t>
  </si>
  <si>
    <t>Panitera Muda Permohonan</t>
  </si>
  <si>
    <t>Kasubag PTIP</t>
  </si>
  <si>
    <t>Kasubbag Kepegawaian dan Ortala</t>
  </si>
  <si>
    <t>Pranata Komputer</t>
  </si>
  <si>
    <t>Nahdiyanti, S.H.I., M.H.</t>
  </si>
  <si>
    <t>Indra Yanita Yuliana, S.E., M.Si.</t>
  </si>
  <si>
    <t>Iqbal Khairillah, S.H.</t>
  </si>
  <si>
    <t>Zulfah, S.H.I.</t>
  </si>
  <si>
    <t>Muhardiansyah, S.Kom.</t>
  </si>
  <si>
    <t>Nurul Fitriani, A.Md.Kom</t>
  </si>
  <si>
    <t>Yulinda, A.Md.Kom.</t>
  </si>
  <si>
    <t>Irwan Syah Setiawan, A.md</t>
  </si>
  <si>
    <t>Analis Perkara Peradilan</t>
  </si>
  <si>
    <t>Raini Maulidina, S.H.</t>
  </si>
  <si>
    <t>Daru Halleila, S.H.</t>
  </si>
  <si>
    <t>Zahidah Alvi Qonita, S.H.I.</t>
  </si>
  <si>
    <t>Pengelola Perkara</t>
  </si>
  <si>
    <t>199312052017122001</t>
  </si>
  <si>
    <t>198410092007042001</t>
  </si>
  <si>
    <t>198301042006042003</t>
  </si>
  <si>
    <t>198802022008051001</t>
  </si>
  <si>
    <t>198604122017122001</t>
  </si>
  <si>
    <t>198009202002121004</t>
  </si>
  <si>
    <t>199408302020122007</t>
  </si>
  <si>
    <t>199107132020121003</t>
  </si>
  <si>
    <t>199702012022031004</t>
  </si>
  <si>
    <t>199304112019032020</t>
  </si>
  <si>
    <t>199211132020122011</t>
  </si>
  <si>
    <t>199010082022031004</t>
  </si>
  <si>
    <t>198410212003122002</t>
  </si>
  <si>
    <t xml:space="preserve">Pembina / IV/a </t>
  </si>
  <si>
    <t>Penata Muda TK I / III/b</t>
  </si>
  <si>
    <t>Penata TK I / III/d</t>
  </si>
  <si>
    <t>Penata / III/c</t>
  </si>
  <si>
    <t>Pengatur Tingkat I / II/d</t>
  </si>
  <si>
    <t>Pengatur / II/c</t>
  </si>
  <si>
    <t>Nomor Urut Data</t>
  </si>
  <si>
    <t>PangkatGolongan</t>
  </si>
  <si>
    <t>ID</t>
  </si>
  <si>
    <t>NIP. 198410092007042001</t>
  </si>
  <si>
    <t>NIP. 198604122017122001</t>
  </si>
  <si>
    <t>Ketua / Pengadilan Agama Penajam</t>
  </si>
  <si>
    <t>Wakil Ketua  / Pengadilan Agama Penajam</t>
  </si>
  <si>
    <t>Hakim  / Pengadilan Agama Penajam</t>
  </si>
  <si>
    <t>Sekretaris  / Pengadilan Agama Penajam</t>
  </si>
  <si>
    <t>Panitera  / Pengadilan Agama Penajam</t>
  </si>
  <si>
    <t>Panitera Muda Hukum  / Pengadilan Agama Penajam</t>
  </si>
  <si>
    <t>Panitera Muda Gugatan  / Pengadilan Agama Penajam</t>
  </si>
  <si>
    <t>Kasubbag Kepegawaian dan Ortala  / Pengadilan Agama Penajam</t>
  </si>
  <si>
    <t>Pranata Komputer  / Pengadilan Agama Penajam</t>
  </si>
  <si>
    <t>Analis Perkara Peradilan  / Pengadilan Agama Penajam</t>
  </si>
  <si>
    <t>Pengelola Perkara  / Pengadilan Agama Penajam</t>
  </si>
  <si>
    <t>Adi Irawan</t>
  </si>
  <si>
    <t>-</t>
  </si>
  <si>
    <t>PPNPN / Supir</t>
  </si>
  <si>
    <t>NIP. 199312052017122001</t>
  </si>
  <si>
    <t>NIP. 198301042006042003</t>
  </si>
  <si>
    <t>NIP. 198410212003122002</t>
  </si>
  <si>
    <t>NIP. 198802022008051001</t>
  </si>
  <si>
    <t>NIP. 198009202002121004</t>
  </si>
  <si>
    <t>NIP. 199107132020121003</t>
  </si>
  <si>
    <t>NIP. 199702012022031004</t>
  </si>
  <si>
    <t>NIP. 199408302020122007</t>
  </si>
  <si>
    <t>NIP. 199304112019032020</t>
  </si>
  <si>
    <t>NIP. 199211132020122011</t>
  </si>
  <si>
    <t>NIP. 199010082022031004</t>
  </si>
  <si>
    <t>H. ACHMAD FAUSI, S.H.I. M.H.</t>
  </si>
  <si>
    <t xml:space="preserve">NIP.198108032007041001	</t>
  </si>
  <si>
    <t>Najwa Hijriana</t>
  </si>
  <si>
    <t>PPNPN  / Operator</t>
  </si>
  <si>
    <t>Najwa Hijriana, S.E.</t>
  </si>
  <si>
    <t>MAHKAMAH AGUNG REPUBLIK INDONESIA</t>
  </si>
  <si>
    <t>DIREKTORAT JENDERAL BADAN PERADILAN AGAMA</t>
  </si>
  <si>
    <t>PENGADILAN TINGGI AGAMA SAMARINDA</t>
  </si>
  <si>
    <t>Jl. Provinsi KM. 09, Kelurahan Nipah-Nipah, Kecamatan Penajam</t>
  </si>
  <si>
    <t>Kabupaten Penajam Paser Utara, Provinsi Kalimantan Timur</t>
  </si>
  <si>
    <t>Telp. 0542-8541119, papnj@pa-penajam.go.id, www.pa-penajam.go.id</t>
  </si>
  <si>
    <t>PPNPN  / Supir</t>
  </si>
  <si>
    <t>Jurusita Pengganti / Bendahara Pengeluaran</t>
  </si>
  <si>
    <t>Fattahurridlo Al Ghany, S.H.I., M.S.I.</t>
  </si>
  <si>
    <t>NIP. 198505092009041006</t>
  </si>
  <si>
    <t>198505092009041006</t>
  </si>
  <si>
    <t>H. Muhammad Hamdi, S.H., M.Hum.</t>
  </si>
  <si>
    <t>197503141996031002</t>
  </si>
  <si>
    <t>H. Muhammad Hamdi, S.H., M.Hum</t>
  </si>
  <si>
    <t>NIP. 197503141996031002</t>
  </si>
  <si>
    <t>Faridah Fitriyani, S.H.I.</t>
  </si>
  <si>
    <t>NIP. 198108022009122002</t>
  </si>
  <si>
    <t>198108022009122000</t>
  </si>
  <si>
    <t>Nuzula Yustisia, S.H.I.</t>
  </si>
  <si>
    <t>NIP. 198506052009042006</t>
  </si>
  <si>
    <t>Panitera Pengganti  / Pengadilan Agama Penajam</t>
  </si>
  <si>
    <t>198506052009042006</t>
  </si>
  <si>
    <t>FATTAHURRIDLO AL GHANY, S.H.I., M.S.I</t>
  </si>
  <si>
    <t>Muhammad Ilham, S.H., M.Kn.</t>
  </si>
  <si>
    <t>Damai Azizu, S.Kom.</t>
  </si>
  <si>
    <t>Qurrotu Aini, S.H.</t>
  </si>
  <si>
    <t>200106132024052000</t>
  </si>
  <si>
    <t>NIP. 200106132024052000</t>
  </si>
  <si>
    <t>Amin Nur</t>
  </si>
  <si>
    <t>Ashar, S.H.</t>
  </si>
  <si>
    <t>PPNPN / Operator</t>
  </si>
  <si>
    <t>Novayanti, S.H.</t>
  </si>
  <si>
    <t>Nur Muflihah Putri Wijanarko, S.T.</t>
  </si>
  <si>
    <t>NIP. 199710252025062012</t>
  </si>
  <si>
    <t>Teknisi Sarana dan Prasarana / Pengadilan Agama Penajam</t>
  </si>
  <si>
    <t>NIP. 199406072025211039</t>
  </si>
  <si>
    <t>IX</t>
  </si>
  <si>
    <t>Penata layanan Operasional / Pengadilan Agama Penajam</t>
  </si>
  <si>
    <t>Penata/ III/c</t>
  </si>
  <si>
    <t>Kasubag Umum dan Keuangan  / Pengadilan Agama Penajam</t>
  </si>
  <si>
    <t>Kecamatan Sepaku</t>
  </si>
  <si>
    <t>Verifikasi sidang di luar gedung Kecamatan Sepaku</t>
  </si>
  <si>
    <t>8 Januari 2026</t>
  </si>
  <si>
    <t>9 Januari 2026</t>
  </si>
  <si>
    <t>Sepaku</t>
  </si>
  <si>
    <t>7 Januari 2026</t>
  </si>
  <si>
    <t>/SPD/2026</t>
  </si>
  <si>
    <t>25/KPA.W17-A8/KP7.1/I/2026</t>
  </si>
  <si>
    <t>No</t>
  </si>
  <si>
    <t>Nama &amp; Gelar</t>
  </si>
  <si>
    <t>Unit Kerja</t>
  </si>
  <si>
    <t>TMT Jabatan</t>
  </si>
  <si>
    <t>Gol</t>
  </si>
  <si>
    <t>FATTAHURRIDLO AL GHANY, S.H.I., M.S.I.</t>
  </si>
  <si>
    <t>13 Mei 2024</t>
  </si>
  <si>
    <t>IV/a</t>
  </si>
  <si>
    <t>NAHDIYANTI, S.H.I., M.H.</t>
  </si>
  <si>
    <t>NUR RIZKA FANI, S.H.</t>
  </si>
  <si>
    <t>Hakim Pratama</t>
  </si>
  <si>
    <t>11 Juni 2025</t>
  </si>
  <si>
    <t>III/a</t>
  </si>
  <si>
    <t>VIDYA NURCHALIZA, S.H.</t>
  </si>
  <si>
    <t>MUHAMMAD HAMDI, S.H., M.Hum.</t>
  </si>
  <si>
    <t>Kepaniteraan</t>
  </si>
  <si>
    <t>11 Juni 2024</t>
  </si>
  <si>
    <t>INDRA YANITA YULIANA, S.E., M.Si.</t>
  </si>
  <si>
    <t>Kesekretariatan</t>
  </si>
  <si>
    <t>07 Agt 2019</t>
  </si>
  <si>
    <t>NUZULA YUSTISIA, S.H.I.</t>
  </si>
  <si>
    <t>Panmud Permohonan</t>
  </si>
  <si>
    <t>21 Juli 2025</t>
  </si>
  <si>
    <t>III/d</t>
  </si>
  <si>
    <t>FARIDAH FITRIYANI, S.H.I.</t>
  </si>
  <si>
    <t>Panmud Gugatan</t>
  </si>
  <si>
    <t>10 Okt 2024</t>
  </si>
  <si>
    <t>AWALUDDIN NUR, S.H.I.</t>
  </si>
  <si>
    <t>Kasubbag PTIP</t>
  </si>
  <si>
    <t>28 Agt 2025</t>
  </si>
  <si>
    <t>MUHAMMAD ZAIM NOOR, S.H.</t>
  </si>
  <si>
    <t>Kasubbag Umum &amp; Keu</t>
  </si>
  <si>
    <t>III/c</t>
  </si>
  <si>
    <t>RAINI MAULIDINA, S.H.</t>
  </si>
  <si>
    <t>Panitera Pengganti</t>
  </si>
  <si>
    <t>17 Juni 2025</t>
  </si>
  <si>
    <t>III/b</t>
  </si>
  <si>
    <t>MUHAMMAD MIFTAHUDIN, S.H.</t>
  </si>
  <si>
    <t>MUHAMMAD ILHAM, S.H., M.Kn.</t>
  </si>
  <si>
    <t>02 Okt 2023</t>
  </si>
  <si>
    <t>QURROTU AINI, S.H.</t>
  </si>
  <si>
    <t>Panmud Hukum</t>
  </si>
  <si>
    <t>02 Mei 2025</t>
  </si>
  <si>
    <t>CUCU KHOFIFAH, S.H.</t>
  </si>
  <si>
    <t>01 Juni 2025</t>
  </si>
  <si>
    <t>RAINA PUTRI NASUHA, S.H.</t>
  </si>
  <si>
    <t>MUHARDIANSYAH, S.Kom.</t>
  </si>
  <si>
    <t>Subbagian PTIP</t>
  </si>
  <si>
    <t>01 Agt 2022</t>
  </si>
  <si>
    <t>NUR MUFLIHAH P.W., S.T.</t>
  </si>
  <si>
    <t>Teknisi Sarpas</t>
  </si>
  <si>
    <t>Subbagian Umum</t>
  </si>
  <si>
    <t>YULINDA, A.Md.Kom.</t>
  </si>
  <si>
    <t>Pengelola Penanganan Perkara</t>
  </si>
  <si>
    <t>II/d</t>
  </si>
  <si>
    <t>NURAVITA PRAMESTI, A.Md.</t>
  </si>
  <si>
    <t>Dokumentalis Hukum</t>
  </si>
  <si>
    <t>23 Juni 2025</t>
  </si>
  <si>
    <t>II/c</t>
  </si>
  <si>
    <t>IRWAN SYAH SETIAWAN, A.md</t>
  </si>
  <si>
    <t>JAKFAR, A.Md.A.B.</t>
  </si>
  <si>
    <t>NOVAYANTI, S.H.</t>
  </si>
  <si>
    <t>Penata Layanan Operasional</t>
  </si>
  <si>
    <t>DAMAI AZIZU, S.Kom.</t>
  </si>
  <si>
    <t>NAJWA HIJRIANA, S.E.</t>
  </si>
  <si>
    <t>Subbagian Kepegawaian</t>
  </si>
  <si>
    <t>ASHAR, S.H.</t>
  </si>
  <si>
    <t>AMIN NUR</t>
  </si>
  <si>
    <t>Operator Layanan</t>
  </si>
  <si>
    <t>ADI IRAWAN</t>
  </si>
  <si>
    <t>Pengelola Umum</t>
  </si>
  <si>
    <t>NURUL FITRIANI, A.Md.Kom.</t>
  </si>
  <si>
    <t>Juru Sita Pengganti</t>
  </si>
  <si>
    <t>09 Okt 2023</t>
  </si>
  <si>
    <t>28 Nov 2022</t>
  </si>
  <si>
    <t>199702232022032013</t>
  </si>
  <si>
    <t>199704162022032013</t>
  </si>
  <si>
    <t>198108022009122002</t>
  </si>
  <si>
    <t>198411192011011012</t>
  </si>
  <si>
    <t>199705312020121004</t>
  </si>
  <si>
    <t>200106132024052001</t>
  </si>
  <si>
    <t>200009242025062019</t>
  </si>
  <si>
    <t>199712262025062010</t>
  </si>
  <si>
    <t>199710252025062012</t>
  </si>
  <si>
    <t>199604102025062008</t>
  </si>
  <si>
    <t>199709082025061006</t>
  </si>
  <si>
    <t>199711202025212035</t>
  </si>
  <si>
    <t>01 Sep 2025</t>
  </si>
  <si>
    <t>198510102025211065</t>
  </si>
  <si>
    <t>199605112025212037</t>
  </si>
  <si>
    <t>199406072025211039</t>
  </si>
  <si>
    <t>198204262025211027</t>
  </si>
  <si>
    <t>198210062025211034</t>
  </si>
  <si>
    <t>Jenis Pegawai</t>
  </si>
  <si>
    <t>PNS</t>
  </si>
  <si>
    <t>CPNS</t>
  </si>
  <si>
    <t>PPPK</t>
  </si>
  <si>
    <t>jenis_jabatan</t>
  </si>
  <si>
    <t>pimpinan</t>
  </si>
  <si>
    <t>Struktural</t>
  </si>
  <si>
    <t>Fungsional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</si>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</sst>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0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u/>
      <sz val="12"/>
      <name val="Arial Narrow"/>
      <family val="2"/>
    </font>
    <font>
      <sz val="8"/>
      <name val="Arial"/>
      <family val="2"/>
    </font>
    <font>
      <b/>
      <sz val="14"/>
      <name val="Arial Narrow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name val="Arial Rounded MT Bold"/>
      <family val="2"/>
    </font>
    <font>
      <u/>
      <sz val="10"/>
      <color theme="10"/>
      <name val="Arial"/>
      <family val="2"/>
    </font>
    <font>
      <sz val="12"/>
      <color theme="0"/>
      <name val="Arial Narrow"/>
      <family val="2"/>
    </font>
    <font>
      <b/>
      <sz val="20"/>
      <name val="Times New Roman"/>
      <family val="1"/>
    </font>
    <font>
      <b/>
      <sz val="16"/>
      <name val="Times New Roman"/>
      <family val="1"/>
    </font>
    <font>
      <b/>
      <sz val="9"/>
      <name val="Times New Roman"/>
      <family val="1"/>
    </font>
    <font>
      <b/>
      <sz val="13"/>
      <name val="Bookman Old Style"/>
      <family val="1"/>
    </font>
    <font>
      <sz val="8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2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justify" wrapText="1"/>
    </xf>
    <xf numFmtId="0" fontId="4" fillId="0" borderId="0" xfId="0" applyFont="1" applyAlignment="1">
      <alignment horizontal="left" vertical="justify" wrapText="1"/>
    </xf>
    <xf numFmtId="0" fontId="3" fillId="0" borderId="1" xfId="0" quotePrefix="1" applyFont="1" applyBorder="1" applyAlignment="1">
      <alignment horizontal="center" vertical="justify"/>
    </xf>
    <xf numFmtId="0" fontId="3" fillId="0" borderId="2" xfId="0" quotePrefix="1" applyFont="1" applyBorder="1" applyAlignment="1">
      <alignment horizontal="center" vertical="justify"/>
    </xf>
    <xf numFmtId="0" fontId="3" fillId="0" borderId="0" xfId="0" applyFont="1" applyAlignment="1">
      <alignment horizontal="center" vertical="justify" wrapText="1"/>
    </xf>
    <xf numFmtId="0" fontId="3" fillId="0" borderId="2" xfId="0" applyFont="1" applyBorder="1"/>
    <xf numFmtId="0" fontId="3" fillId="0" borderId="0" xfId="0" quotePrefix="1" applyFont="1" applyAlignment="1">
      <alignment horizontal="center"/>
    </xf>
    <xf numFmtId="0" fontId="3" fillId="0" borderId="3" xfId="0" quotePrefix="1" applyFont="1" applyBorder="1" applyAlignment="1">
      <alignment horizontal="center" vertical="justify"/>
    </xf>
    <xf numFmtId="0" fontId="3" fillId="0" borderId="4" xfId="0" quotePrefix="1" applyFont="1" applyBorder="1" applyAlignment="1">
      <alignment horizontal="center" vertical="justify"/>
    </xf>
    <xf numFmtId="0" fontId="3" fillId="0" borderId="5" xfId="0" applyFont="1" applyBorder="1" applyAlignment="1">
      <alignment horizontal="center" vertical="justify" wrapText="1"/>
    </xf>
    <xf numFmtId="0" fontId="3" fillId="0" borderId="5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center" vertical="justify" wrapText="1"/>
    </xf>
    <xf numFmtId="0" fontId="3" fillId="0" borderId="7" xfId="0" applyFont="1" applyBorder="1"/>
    <xf numFmtId="0" fontId="3" fillId="0" borderId="8" xfId="0" applyFont="1" applyBorder="1"/>
    <xf numFmtId="0" fontId="3" fillId="0" borderId="1" xfId="0" applyFont="1" applyBorder="1" applyAlignment="1">
      <alignment horizontal="center" vertical="justify" wrapText="1"/>
    </xf>
    <xf numFmtId="0" fontId="3" fillId="0" borderId="2" xfId="0" applyFont="1" applyBorder="1" applyAlignment="1">
      <alignment horizontal="center" vertical="justify" wrapText="1"/>
    </xf>
    <xf numFmtId="0" fontId="3" fillId="0" borderId="3" xfId="0" applyFont="1" applyBorder="1" applyAlignment="1">
      <alignment horizontal="center" vertical="justify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8" fillId="0" borderId="0" xfId="0" applyFont="1"/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8" fillId="0" borderId="10" xfId="0" applyFont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2" xfId="0" applyBorder="1"/>
    <xf numFmtId="0" fontId="0" fillId="0" borderId="13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1" fillId="0" borderId="13" xfId="0" applyFont="1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8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0" xfId="0" applyFont="1"/>
    <xf numFmtId="0" fontId="8" fillId="2" borderId="0" xfId="0" applyFont="1" applyFill="1"/>
    <xf numFmtId="0" fontId="8" fillId="0" borderId="13" xfId="0" applyFont="1" applyBorder="1"/>
    <xf numFmtId="0" fontId="8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left" vertical="justify" wrapText="1"/>
    </xf>
    <xf numFmtId="0" fontId="8" fillId="0" borderId="2" xfId="0" applyFont="1" applyBorder="1"/>
    <xf numFmtId="0" fontId="11" fillId="0" borderId="0" xfId="0" quotePrefix="1" applyFont="1" applyAlignment="1">
      <alignment horizontal="left" vertical="justify" wrapText="1"/>
    </xf>
    <xf numFmtId="0" fontId="11" fillId="0" borderId="0" xfId="0" quotePrefix="1" applyFont="1"/>
    <xf numFmtId="0" fontId="9" fillId="0" borderId="0" xfId="0" applyFont="1"/>
    <xf numFmtId="0" fontId="8" fillId="0" borderId="3" xfId="0" applyFont="1" applyBorder="1"/>
    <xf numFmtId="0" fontId="8" fillId="0" borderId="6" xfId="0" applyFont="1" applyBorder="1"/>
    <xf numFmtId="0" fontId="8" fillId="0" borderId="14" xfId="0" applyFont="1" applyBorder="1"/>
    <xf numFmtId="0" fontId="0" fillId="0" borderId="13" xfId="0" applyBorder="1" applyAlignment="1">
      <alignment horizontal="left"/>
    </xf>
    <xf numFmtId="0" fontId="10" fillId="0" borderId="0" xfId="0" applyFont="1" applyAlignment="1">
      <alignment horizontal="center"/>
    </xf>
    <xf numFmtId="0" fontId="10" fillId="0" borderId="13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center" vertical="justify"/>
    </xf>
    <xf numFmtId="0" fontId="0" fillId="0" borderId="19" xfId="0" applyBorder="1" applyAlignment="1">
      <alignment horizontal="left" vertical="justify" wrapText="1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3" xfId="0" applyBorder="1"/>
    <xf numFmtId="0" fontId="10" fillId="0" borderId="23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0" fillId="0" borderId="25" xfId="0" applyBorder="1"/>
    <xf numFmtId="0" fontId="0" fillId="0" borderId="22" xfId="0" applyBorder="1" applyAlignment="1">
      <alignment horizontal="center"/>
    </xf>
    <xf numFmtId="0" fontId="0" fillId="0" borderId="26" xfId="0" applyBorder="1"/>
    <xf numFmtId="0" fontId="0" fillId="0" borderId="24" xfId="0" applyBorder="1"/>
    <xf numFmtId="0" fontId="0" fillId="0" borderId="2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3" fillId="0" borderId="0" xfId="0" applyFont="1" applyAlignment="1">
      <alignment horizontal="left" vertical="justify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8" fillId="2" borderId="0" xfId="0" applyNumberFormat="1" applyFont="1" applyFill="1"/>
    <xf numFmtId="49" fontId="0" fillId="0" borderId="0" xfId="0" applyNumberFormat="1" applyAlignment="1">
      <alignment horizontal="left"/>
    </xf>
    <xf numFmtId="0" fontId="16" fillId="0" borderId="13" xfId="0" applyFont="1" applyBorder="1" applyAlignment="1">
      <alignment horizontal="left"/>
    </xf>
    <xf numFmtId="49" fontId="0" fillId="0" borderId="15" xfId="0" applyNumberFormat="1" applyBorder="1" applyAlignment="1">
      <alignment horizontal="left"/>
    </xf>
    <xf numFmtId="0" fontId="16" fillId="0" borderId="0" xfId="0" applyFont="1" applyAlignment="1">
      <alignment horizontal="left" vertical="justify"/>
    </xf>
    <xf numFmtId="49" fontId="0" fillId="0" borderId="0" xfId="0" applyNumberFormat="1"/>
    <xf numFmtId="0" fontId="3" fillId="0" borderId="0" xfId="0" applyFont="1" applyAlignment="1">
      <alignment horizontal="right" vertical="justify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3" fillId="0" borderId="2" xfId="0" applyFont="1" applyBorder="1" applyAlignment="1">
      <alignment horizontal="center" vertical="top" wrapText="1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0" borderId="0" xfId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3" fillId="0" borderId="0" xfId="0" applyFont="1" applyAlignment="1">
      <alignment horizontal="justify" vertical="center"/>
    </xf>
    <xf numFmtId="49" fontId="8" fillId="2" borderId="0" xfId="0" quotePrefix="1" applyNumberFormat="1" applyFont="1" applyFill="1"/>
    <xf numFmtId="49" fontId="0" fillId="0" borderId="0" xfId="0" quotePrefix="1" applyNumberFormat="1"/>
    <xf numFmtId="0" fontId="8" fillId="2" borderId="0" xfId="0" quotePrefix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0" borderId="0" xfId="0" quotePrefix="1" applyFont="1"/>
    <xf numFmtId="0" fontId="1" fillId="0" borderId="0" xfId="0" applyFont="1"/>
    <xf numFmtId="0" fontId="1" fillId="0" borderId="0" xfId="0" quotePrefix="1" applyFont="1"/>
    <xf numFmtId="49" fontId="11" fillId="0" borderId="0" xfId="0" applyNumberFormat="1" applyFont="1" applyAlignment="1">
      <alignment horizontal="left" vertical="justify" wrapText="1"/>
    </xf>
    <xf numFmtId="49" fontId="1" fillId="0" borderId="0" xfId="0" applyNumberFormat="1" applyFont="1"/>
    <xf numFmtId="49" fontId="1" fillId="0" borderId="0" xfId="0" quotePrefix="1" applyNumberFormat="1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1" applyFont="1" applyAlignment="1" applyProtection="1">
      <alignment horizontal="center" vertical="center"/>
    </xf>
    <xf numFmtId="0" fontId="3" fillId="0" borderId="0" xfId="0" applyFont="1" applyAlignment="1">
      <alignment horizontal="left" vertical="justify"/>
    </xf>
    <xf numFmtId="0" fontId="3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" fillId="0" borderId="5" xfId="0" applyFont="1" applyBorder="1" applyAlignment="1">
      <alignment horizontal="left" vertical="justify" wrapText="1"/>
    </xf>
    <xf numFmtId="0" fontId="3" fillId="0" borderId="8" xfId="0" applyFont="1" applyBorder="1" applyAlignment="1">
      <alignment horizontal="left" vertical="justify" wrapText="1"/>
    </xf>
    <xf numFmtId="0" fontId="3" fillId="0" borderId="6" xfId="0" applyFont="1" applyBorder="1" applyAlignment="1">
      <alignment horizontal="left" vertical="justify" wrapText="1"/>
    </xf>
    <xf numFmtId="0" fontId="3" fillId="0" borderId="14" xfId="0" applyFont="1" applyBorder="1" applyAlignment="1">
      <alignment horizontal="left" vertical="justify" wrapText="1"/>
    </xf>
    <xf numFmtId="0" fontId="21" fillId="0" borderId="32" xfId="0" applyFont="1" applyBorder="1" applyAlignment="1">
      <alignment horizontal="center"/>
    </xf>
    <xf numFmtId="0" fontId="3" fillId="0" borderId="0" xfId="0" applyFont="1" applyAlignment="1">
      <alignment horizontal="left" vertical="justify" wrapText="1"/>
    </xf>
    <xf numFmtId="0" fontId="3" fillId="0" borderId="1" xfId="0" applyFont="1" applyBorder="1" applyAlignment="1">
      <alignment horizontal="left" vertical="justify" wrapText="1"/>
    </xf>
    <xf numFmtId="0" fontId="3" fillId="0" borderId="3" xfId="0" applyFont="1" applyBorder="1" applyAlignment="1">
      <alignment horizontal="left" vertical="justify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left" vertical="justify" wrapText="1"/>
    </xf>
    <xf numFmtId="0" fontId="3" fillId="0" borderId="7" xfId="0" applyFont="1" applyBorder="1" applyAlignment="1">
      <alignment horizontal="left" vertical="justify" wrapText="1"/>
    </xf>
    <xf numFmtId="0" fontId="3" fillId="0" borderId="31" xfId="0" applyFont="1" applyBorder="1" applyAlignment="1">
      <alignment horizontal="left" vertical="justify" wrapText="1"/>
    </xf>
    <xf numFmtId="49" fontId="3" fillId="0" borderId="2" xfId="0" applyNumberFormat="1" applyFont="1" applyBorder="1" applyAlignment="1">
      <alignment horizontal="left"/>
    </xf>
    <xf numFmtId="0" fontId="4" fillId="3" borderId="0" xfId="0" applyFont="1" applyFill="1" applyAlignment="1">
      <alignment horizontal="left" vertical="justify" wrapText="1"/>
    </xf>
    <xf numFmtId="0" fontId="2" fillId="0" borderId="0" xfId="0" applyFont="1" applyAlignment="1">
      <alignment horizontal="left" wrapText="1"/>
    </xf>
    <xf numFmtId="0" fontId="7" fillId="0" borderId="0" xfId="0" applyFont="1" applyAlignment="1">
      <alignment horizontal="center"/>
    </xf>
    <xf numFmtId="0" fontId="3" fillId="0" borderId="6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0" fontId="3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49" fontId="0" fillId="0" borderId="15" xfId="0" applyNumberForma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1" fillId="0" borderId="0" xfId="0" quotePrefix="1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2" fillId="0" borderId="33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9" fillId="2" borderId="0" xfId="0" applyFont="1" applyFill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9" fillId="2" borderId="0" xfId="0" applyFont="1" applyFill="1" applyAlignment="1">
      <alignment horizontal="left" vertical="justify" wrapText="1"/>
    </xf>
    <xf numFmtId="0" fontId="8" fillId="0" borderId="9" xfId="0" applyFont="1" applyBorder="1" applyAlignment="1">
      <alignment horizontal="center"/>
    </xf>
    <xf numFmtId="0" fontId="9" fillId="2" borderId="0" xfId="0" quotePrefix="1" applyFont="1" applyFill="1" applyAlignment="1">
      <alignment horizontal="left" vertical="justify" wrapText="1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NumberFormat="1"/>
    <xf numFmtId="0" fontId="1" fillId="0" borderId="0" xfId="0" applyNumberFormat="1" applyFont="1"/>
  </cellXfs>
  <cellStyles count="2">
    <cellStyle name="Hyperlink" xfId="1" builtinId="8"/>
    <cellStyle name="Normal" xfId="0" builtinId="0"/>
  </cellStyles>
  <dxfs count="20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182881</xdr:colOff>
      <xdr:row>0</xdr:row>
      <xdr:rowOff>73344</xdr:rowOff>
    </xdr:from>
    <xdr:to>
      <xdr:col>3</xdr:col>
      <xdr:colOff>426721</xdr:colOff>
      <xdr:row>6</xdr:row>
      <xdr:rowOff>133349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7220A93-9ED2-43A3-B4F0-0E20D0835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1" y="73344"/>
          <a:ext cx="1066800" cy="1324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1.110/data-server/00_JABATAN/KESEKRETARIATAN/PTIP/2023/SPD%20116%20Ketua%20SM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NKO ISIAN"/>
      <sheetName val="SPPD LMBAR 1"/>
      <sheetName val="SPPD LEMBAR 2"/>
    </sheetNames>
    <sheetDataSet>
      <sheetData sheetId="0">
        <row r="55">
          <cell r="C55" t="str">
            <v>Pengadilan Agama Penajam</v>
          </cell>
        </row>
      </sheetData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3223A5-E7A1-4A1A-85DB-DAEDF84BA686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No" tableColumnId="1"/>
      <queryTableField id="2" name="NIP" tableColumnId="2"/>
      <queryTableField id="3" name="Nama &amp; Gelar" tableColumnId="3"/>
      <queryTableField id="4" name="Jabatan" tableColumnId="4"/>
      <queryTableField id="5" name="Unit Kerja" tableColumnId="5"/>
      <queryTableField id="6" name="TMT Jabatan" tableColumnId="6"/>
      <queryTableField id="7" name="Gol" tableColumnId="7"/>
      <queryTableField id="8" dataBound="0" tableColumnId="8"/>
      <queryTableField id="9" dataBound="0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0238D-2689-4823-8EA6-F67FCE3FD099}" name="HR" displayName="HR" ref="A3:E27" totalsRowShown="0" headerRowDxfId="19" dataDxfId="18">
  <autoFilter ref="A3:E27" xr:uid="{DFC0238D-2689-4823-8EA6-F67FCE3FD099}"/>
  <tableColumns count="5">
    <tableColumn id="1" xr3:uid="{5B51A7AC-375A-4981-A638-A39EDD8AE527}" name="ID"/>
    <tableColumn id="2" xr3:uid="{1D65FCA2-F02F-4061-A43A-DF1FC5ED0755}" name="Nama" dataDxfId="17"/>
    <tableColumn id="3" xr3:uid="{D05E569F-4EBC-41A0-B15B-8918C68AEE71}" name="NIP" dataDxfId="16"/>
    <tableColumn id="4" xr3:uid="{BEAAB674-E889-4833-8448-3D1D1AF46197}" name="PangkatGolongan" dataDxfId="15"/>
    <tableColumn id="5" xr3:uid="{94F1AB9E-1FF2-4D36-A8AF-53C64822B514}" name="Jabatan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AAF94D-7684-473B-8F0E-1E9375CDADD5}" name="_1198505092009041006FATTAHURRIDLO_AL_GHANY__S_H_I_______1198505092009041006FATTAH" displayName="_1198505092009041006FATTAHURRIDLO_AL_GHANY__S_H_I_______1198505092009041006FATTAH" ref="A1:I31" tableType="queryTable" totalsRowShown="0">
  <autoFilter ref="A1:I31" xr:uid="{6DAAF94D-7684-473B-8F0E-1E9375CDADD5}"/>
  <tableColumns count="9">
    <tableColumn id="1" xr3:uid="{7696BC18-3AA0-40DE-AD70-451BD5D867F6}" uniqueName="1" name="No" queryTableFieldId="1"/>
    <tableColumn id="2" xr3:uid="{A856EE09-7F17-4444-9010-EDBCF6CE99E7}" uniqueName="2" name="NIP" queryTableFieldId="2" dataDxfId="13"/>
    <tableColumn id="3" xr3:uid="{AD2B858D-E020-4CA2-951B-0B65A0F31865}" uniqueName="3" name="Nama &amp; Gelar" queryTableFieldId="3" dataDxfId="12"/>
    <tableColumn id="4" xr3:uid="{72343976-1C43-4221-BC32-AF73E7A07FFE}" uniqueName="4" name="Jabatan" queryTableFieldId="4" dataDxfId="11"/>
    <tableColumn id="5" xr3:uid="{DFF143CA-AF24-4BD9-9EDC-AAD04843A212}" uniqueName="5" name="Unit Kerja" queryTableFieldId="5" dataDxfId="10"/>
    <tableColumn id="6" xr3:uid="{583244CF-705A-40DA-A85B-1BF99BABB98B}" uniqueName="6" name="TMT Jabatan" queryTableFieldId="6" dataDxfId="9"/>
    <tableColumn id="7" xr3:uid="{496E8399-8183-4FB3-807E-92D4735AB251}" uniqueName="7" name="Gol" queryTableFieldId="7" dataDxfId="8"/>
    <tableColumn id="8" xr3:uid="{0A6F264B-B796-E349-8757-6DFAABDFA9C3}" uniqueName="8" name="Jenis Pegawai" queryTableFieldId="8" dataDxfId="7"/>
    <tableColumn id="9" xr3:uid="{860DF1F4-A0B5-4043-9061-2AC2D2845D42}" uniqueName="9" name="jenis_jabatan" queryTableFieldId="9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82B712-C0D4-4876-92F5-E2D6CC73F7E0}" name="HR_3" displayName="HR_3" ref="G6:K31" totalsRowShown="0" headerRowDxfId="6" dataDxfId="5">
  <autoFilter ref="G6:K31" xr:uid="{3082B712-C0D4-4876-92F5-E2D6CC73F7E0}"/>
  <tableColumns count="5">
    <tableColumn id="1" xr3:uid="{09DC8C84-7C34-4A9F-B170-A231591B97A6}" name="ID"/>
    <tableColumn id="2" xr3:uid="{58BA057D-84E6-4627-B372-1E5E3EBE00E0}" name="Nama" dataDxfId="4"/>
    <tableColumn id="3" xr3:uid="{06C57071-DDC7-43F5-8909-285665DE906D}" name="NIP" dataDxfId="3"/>
    <tableColumn id="4" xr3:uid="{B0F0EB79-9610-46C1-AD98-F079286C46B9}" name="PangkatGolongan" dataDxfId="2"/>
    <tableColumn id="5" xr3:uid="{5E31DD9F-6F21-467C-9729-F963C5179CD1}" name="Jabata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537A-F87A-4FED-B7C1-841852DFA2F2}">
  <dimension ref="A3:J27"/>
  <sheetViews>
    <sheetView workbookViewId="0">
      <selection activeCell="B4" sqref="B4"/>
    </sheetView>
  </sheetViews>
  <sheetFormatPr baseColWidth="10" defaultColWidth="8.83203125" defaultRowHeight="13" x14ac:dyDescent="0.15"/>
  <cols>
    <col min="2" max="2" width="29.83203125" style="105" customWidth="1"/>
    <col min="3" max="3" width="22.83203125" style="105" customWidth="1"/>
    <col min="4" max="4" width="20" style="105" customWidth="1"/>
    <col min="5" max="5" width="30.6640625" style="105" customWidth="1"/>
    <col min="6" max="10" width="9.1640625" style="105"/>
  </cols>
  <sheetData>
    <row r="3" spans="1:5" ht="14" x14ac:dyDescent="0.15">
      <c r="A3" s="121" t="s">
        <v>158</v>
      </c>
      <c r="B3" s="123" t="s">
        <v>113</v>
      </c>
      <c r="C3" s="124" t="s">
        <v>54</v>
      </c>
      <c r="D3" s="124" t="s">
        <v>157</v>
      </c>
      <c r="E3" s="124" t="s">
        <v>114</v>
      </c>
    </row>
    <row r="4" spans="1:5" x14ac:dyDescent="0.15">
      <c r="A4">
        <v>1</v>
      </c>
      <c r="B4" s="124" t="s">
        <v>199</v>
      </c>
      <c r="C4" s="125" t="s">
        <v>201</v>
      </c>
      <c r="D4" s="124" t="s">
        <v>150</v>
      </c>
      <c r="E4" s="124" t="s">
        <v>115</v>
      </c>
    </row>
    <row r="5" spans="1:5" x14ac:dyDescent="0.15">
      <c r="A5">
        <v>2</v>
      </c>
      <c r="B5" s="124" t="s">
        <v>124</v>
      </c>
      <c r="C5" s="125" t="s">
        <v>138</v>
      </c>
      <c r="D5" s="124" t="s">
        <v>150</v>
      </c>
      <c r="E5" s="124" t="s">
        <v>116</v>
      </c>
    </row>
    <row r="6" spans="1:5" x14ac:dyDescent="0.15">
      <c r="A6">
        <v>3</v>
      </c>
      <c r="B6" s="124" t="s">
        <v>134</v>
      </c>
      <c r="C6" s="125" t="s">
        <v>141</v>
      </c>
      <c r="D6" s="124" t="s">
        <v>151</v>
      </c>
      <c r="E6" s="124"/>
    </row>
    <row r="7" spans="1:5" x14ac:dyDescent="0.15">
      <c r="A7">
        <v>4</v>
      </c>
      <c r="B7" s="124" t="s">
        <v>135</v>
      </c>
      <c r="C7" s="125" t="s">
        <v>137</v>
      </c>
      <c r="D7" s="124" t="s">
        <v>151</v>
      </c>
      <c r="E7" s="124" t="s">
        <v>117</v>
      </c>
    </row>
    <row r="8" spans="1:5" x14ac:dyDescent="0.15">
      <c r="A8">
        <v>5</v>
      </c>
      <c r="B8" s="124" t="s">
        <v>125</v>
      </c>
      <c r="C8" s="125" t="s">
        <v>139</v>
      </c>
      <c r="D8" s="124" t="s">
        <v>152</v>
      </c>
      <c r="E8" s="124" t="s">
        <v>111</v>
      </c>
    </row>
    <row r="9" spans="1:5" x14ac:dyDescent="0.15">
      <c r="A9">
        <v>6</v>
      </c>
      <c r="B9" s="124" t="s">
        <v>202</v>
      </c>
      <c r="C9" s="125" t="s">
        <v>203</v>
      </c>
      <c r="D9" s="124" t="s">
        <v>150</v>
      </c>
      <c r="E9" s="124" t="s">
        <v>118</v>
      </c>
    </row>
    <row r="10" spans="1:5" x14ac:dyDescent="0.15">
      <c r="A10">
        <v>7</v>
      </c>
      <c r="B10" s="124" t="s">
        <v>206</v>
      </c>
      <c r="C10" s="125" t="s">
        <v>208</v>
      </c>
      <c r="D10" s="124" t="s">
        <v>152</v>
      </c>
      <c r="E10" s="124" t="s">
        <v>119</v>
      </c>
    </row>
    <row r="11" spans="1:5" x14ac:dyDescent="0.15">
      <c r="A11">
        <v>8</v>
      </c>
      <c r="B11" s="124" t="s">
        <v>209</v>
      </c>
      <c r="C11" s="125" t="s">
        <v>212</v>
      </c>
      <c r="D11" s="124" t="s">
        <v>152</v>
      </c>
      <c r="E11" s="124" t="s">
        <v>120</v>
      </c>
    </row>
    <row r="12" spans="1:5" x14ac:dyDescent="0.15">
      <c r="A12">
        <v>9</v>
      </c>
      <c r="B12" s="124" t="s">
        <v>127</v>
      </c>
      <c r="C12" s="125" t="s">
        <v>149</v>
      </c>
      <c r="D12" s="124" t="s">
        <v>153</v>
      </c>
      <c r="E12" s="124" t="s">
        <v>119</v>
      </c>
    </row>
    <row r="13" spans="1:5" x14ac:dyDescent="0.15">
      <c r="A13">
        <v>10</v>
      </c>
      <c r="B13" s="124" t="s">
        <v>102</v>
      </c>
      <c r="C13" s="125" t="s">
        <v>140</v>
      </c>
      <c r="D13" s="124" t="s">
        <v>151</v>
      </c>
      <c r="E13" s="124" t="s">
        <v>121</v>
      </c>
    </row>
    <row r="14" spans="1:5" x14ac:dyDescent="0.15">
      <c r="A14">
        <v>11</v>
      </c>
      <c r="B14" s="124" t="s">
        <v>126</v>
      </c>
      <c r="C14" s="125" t="s">
        <v>142</v>
      </c>
      <c r="D14" s="124" t="s">
        <v>152</v>
      </c>
      <c r="E14" s="124" t="s">
        <v>122</v>
      </c>
    </row>
    <row r="15" spans="1:5" x14ac:dyDescent="0.15">
      <c r="A15">
        <v>12</v>
      </c>
      <c r="B15" s="124" t="s">
        <v>128</v>
      </c>
      <c r="C15" s="125" t="s">
        <v>144</v>
      </c>
      <c r="D15" s="124" t="s">
        <v>108</v>
      </c>
      <c r="E15" s="124" t="s">
        <v>123</v>
      </c>
    </row>
    <row r="16" spans="1:5" x14ac:dyDescent="0.15">
      <c r="A16">
        <v>13</v>
      </c>
      <c r="B16" s="124" t="s">
        <v>214</v>
      </c>
      <c r="C16" s="125" t="s">
        <v>145</v>
      </c>
      <c r="D16" s="124" t="s">
        <v>151</v>
      </c>
      <c r="E16" s="124" t="s">
        <v>132</v>
      </c>
    </row>
    <row r="17" spans="1:5" x14ac:dyDescent="0.15">
      <c r="A17">
        <v>14</v>
      </c>
      <c r="B17" s="124" t="s">
        <v>133</v>
      </c>
      <c r="C17" s="125" t="s">
        <v>143</v>
      </c>
      <c r="D17" s="124" t="s">
        <v>151</v>
      </c>
      <c r="E17" s="124" t="s">
        <v>132</v>
      </c>
    </row>
    <row r="18" spans="1:5" x14ac:dyDescent="0.15">
      <c r="A18">
        <v>15</v>
      </c>
      <c r="B18" s="124" t="s">
        <v>129</v>
      </c>
      <c r="C18" s="125" t="s">
        <v>146</v>
      </c>
      <c r="D18" s="124" t="s">
        <v>154</v>
      </c>
      <c r="E18" s="124" t="s">
        <v>198</v>
      </c>
    </row>
    <row r="19" spans="1:5" x14ac:dyDescent="0.15">
      <c r="A19">
        <v>16</v>
      </c>
      <c r="B19" s="124" t="s">
        <v>130</v>
      </c>
      <c r="C19" s="125" t="s">
        <v>147</v>
      </c>
      <c r="D19" s="124" t="s">
        <v>155</v>
      </c>
      <c r="E19" s="124" t="s">
        <v>136</v>
      </c>
    </row>
    <row r="20" spans="1:5" x14ac:dyDescent="0.15">
      <c r="A20">
        <v>17</v>
      </c>
      <c r="B20" s="124" t="s">
        <v>216</v>
      </c>
      <c r="C20" s="125" t="s">
        <v>217</v>
      </c>
      <c r="D20" s="124" t="s">
        <v>108</v>
      </c>
      <c r="E20" s="124" t="s">
        <v>132</v>
      </c>
    </row>
    <row r="21" spans="1:5" x14ac:dyDescent="0.15">
      <c r="A21">
        <v>18</v>
      </c>
      <c r="B21" s="124" t="s">
        <v>131</v>
      </c>
      <c r="C21" s="125" t="s">
        <v>148</v>
      </c>
      <c r="D21" s="124" t="s">
        <v>155</v>
      </c>
      <c r="E21" s="124" t="s">
        <v>136</v>
      </c>
    </row>
    <row r="22" spans="1:5" x14ac:dyDescent="0.15">
      <c r="A22">
        <v>19</v>
      </c>
      <c r="B22" s="124" t="s">
        <v>219</v>
      </c>
      <c r="C22" s="125" t="s">
        <v>173</v>
      </c>
      <c r="D22" s="125" t="s">
        <v>173</v>
      </c>
      <c r="E22" s="124" t="s">
        <v>174</v>
      </c>
    </row>
    <row r="23" spans="1:5" x14ac:dyDescent="0.15">
      <c r="A23">
        <v>20</v>
      </c>
      <c r="B23" s="124" t="s">
        <v>172</v>
      </c>
      <c r="C23" s="124" t="s">
        <v>173</v>
      </c>
      <c r="D23" s="124" t="s">
        <v>173</v>
      </c>
      <c r="E23" s="124" t="s">
        <v>174</v>
      </c>
    </row>
    <row r="24" spans="1:5" x14ac:dyDescent="0.15">
      <c r="A24">
        <v>21</v>
      </c>
      <c r="B24" s="124" t="s">
        <v>190</v>
      </c>
      <c r="C24" s="125" t="s">
        <v>173</v>
      </c>
      <c r="D24" s="125" t="s">
        <v>173</v>
      </c>
      <c r="E24" s="124" t="s">
        <v>174</v>
      </c>
    </row>
    <row r="25" spans="1:5" x14ac:dyDescent="0.15">
      <c r="A25">
        <v>22</v>
      </c>
      <c r="B25" s="124" t="s">
        <v>215</v>
      </c>
      <c r="C25" s="125" t="s">
        <v>173</v>
      </c>
      <c r="D25" s="125" t="s">
        <v>173</v>
      </c>
      <c r="E25" s="124" t="s">
        <v>174</v>
      </c>
    </row>
    <row r="26" spans="1:5" x14ac:dyDescent="0.15">
      <c r="A26">
        <v>23</v>
      </c>
      <c r="B26" s="124" t="s">
        <v>220</v>
      </c>
      <c r="C26" s="125" t="s">
        <v>173</v>
      </c>
      <c r="D26" s="125" t="s">
        <v>173</v>
      </c>
      <c r="E26" s="124" t="s">
        <v>174</v>
      </c>
    </row>
    <row r="27" spans="1:5" x14ac:dyDescent="0.15">
      <c r="A27">
        <v>24</v>
      </c>
      <c r="B27" s="124" t="s">
        <v>222</v>
      </c>
      <c r="C27" s="125" t="s">
        <v>173</v>
      </c>
      <c r="D27" s="125" t="s">
        <v>173</v>
      </c>
      <c r="E27" s="124" t="s">
        <v>221</v>
      </c>
    </row>
  </sheetData>
  <phoneticPr fontId="6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343E-2D7F-4B81-A276-00877F8C2BAE}">
  <dimension ref="A1:I31"/>
  <sheetViews>
    <sheetView tabSelected="1" workbookViewId="0">
      <selection activeCell="M23" sqref="M23"/>
    </sheetView>
  </sheetViews>
  <sheetFormatPr baseColWidth="10" defaultColWidth="8.83203125" defaultRowHeight="13" x14ac:dyDescent="0.15"/>
  <cols>
    <col min="1" max="1" width="5.6640625" bestFit="1" customWidth="1"/>
    <col min="2" max="2" width="19.33203125" bestFit="1" customWidth="1"/>
    <col min="3" max="3" width="39" bestFit="1" customWidth="1"/>
    <col min="4" max="4" width="27.5" bestFit="1" customWidth="1"/>
    <col min="5" max="5" width="24.83203125" bestFit="1" customWidth="1"/>
    <col min="6" max="6" width="15" bestFit="1" customWidth="1"/>
    <col min="7" max="7" width="6.5" bestFit="1" customWidth="1"/>
    <col min="9" max="9" width="12.1640625" bestFit="1" customWidth="1"/>
  </cols>
  <sheetData>
    <row r="1" spans="1:9" x14ac:dyDescent="0.15">
      <c r="A1" t="s">
        <v>239</v>
      </c>
      <c r="B1" t="s">
        <v>54</v>
      </c>
      <c r="C1" t="s">
        <v>240</v>
      </c>
      <c r="D1" t="s">
        <v>114</v>
      </c>
      <c r="E1" t="s">
        <v>241</v>
      </c>
      <c r="F1" t="s">
        <v>242</v>
      </c>
      <c r="G1" t="s">
        <v>243</v>
      </c>
      <c r="H1" s="121" t="s">
        <v>332</v>
      </c>
      <c r="I1" s="121" t="s">
        <v>336</v>
      </c>
    </row>
    <row r="2" spans="1:9" x14ac:dyDescent="0.15">
      <c r="A2">
        <v>1</v>
      </c>
      <c r="B2" t="s">
        <v>201</v>
      </c>
      <c r="C2" t="s">
        <v>244</v>
      </c>
      <c r="D2" t="s">
        <v>115</v>
      </c>
      <c r="E2" t="s">
        <v>99</v>
      </c>
      <c r="F2" t="s">
        <v>245</v>
      </c>
      <c r="G2" t="s">
        <v>246</v>
      </c>
      <c r="H2" s="121" t="s">
        <v>117</v>
      </c>
      <c r="I2" s="209" t="s">
        <v>337</v>
      </c>
    </row>
    <row r="3" spans="1:9" x14ac:dyDescent="0.15">
      <c r="A3">
        <v>2</v>
      </c>
      <c r="B3" t="s">
        <v>138</v>
      </c>
      <c r="C3" t="s">
        <v>247</v>
      </c>
      <c r="D3" t="s">
        <v>116</v>
      </c>
      <c r="E3" t="s">
        <v>99</v>
      </c>
      <c r="F3" t="s">
        <v>313</v>
      </c>
      <c r="G3" t="s">
        <v>246</v>
      </c>
      <c r="H3" s="121" t="s">
        <v>117</v>
      </c>
      <c r="I3" s="209" t="s">
        <v>337</v>
      </c>
    </row>
    <row r="4" spans="1:9" x14ac:dyDescent="0.15">
      <c r="A4">
        <v>3</v>
      </c>
      <c r="B4" t="s">
        <v>314</v>
      </c>
      <c r="C4" t="s">
        <v>248</v>
      </c>
      <c r="D4" t="s">
        <v>249</v>
      </c>
      <c r="E4" t="s">
        <v>99</v>
      </c>
      <c r="F4" t="s">
        <v>250</v>
      </c>
      <c r="G4" t="s">
        <v>251</v>
      </c>
      <c r="H4" s="121" t="s">
        <v>117</v>
      </c>
      <c r="I4" s="209" t="s">
        <v>337</v>
      </c>
    </row>
    <row r="5" spans="1:9" x14ac:dyDescent="0.15">
      <c r="A5">
        <v>4</v>
      </c>
      <c r="B5" t="s">
        <v>315</v>
      </c>
      <c r="C5" t="s">
        <v>252</v>
      </c>
      <c r="D5" t="s">
        <v>249</v>
      </c>
      <c r="E5" t="s">
        <v>99</v>
      </c>
      <c r="F5" t="s">
        <v>250</v>
      </c>
      <c r="G5" t="s">
        <v>251</v>
      </c>
      <c r="H5" s="121" t="s">
        <v>117</v>
      </c>
      <c r="I5" s="209" t="s">
        <v>337</v>
      </c>
    </row>
    <row r="6" spans="1:9" x14ac:dyDescent="0.15">
      <c r="A6">
        <v>5</v>
      </c>
      <c r="B6" t="s">
        <v>203</v>
      </c>
      <c r="C6" t="s">
        <v>253</v>
      </c>
      <c r="D6" t="s">
        <v>118</v>
      </c>
      <c r="E6" t="s">
        <v>254</v>
      </c>
      <c r="F6" t="s">
        <v>255</v>
      </c>
      <c r="G6" t="s">
        <v>246</v>
      </c>
      <c r="H6" s="121" t="s">
        <v>333</v>
      </c>
      <c r="I6" s="209" t="s">
        <v>337</v>
      </c>
    </row>
    <row r="7" spans="1:9" x14ac:dyDescent="0.15">
      <c r="A7">
        <v>6</v>
      </c>
      <c r="B7" t="s">
        <v>139</v>
      </c>
      <c r="C7" t="s">
        <v>256</v>
      </c>
      <c r="D7" t="s">
        <v>111</v>
      </c>
      <c r="E7" t="s">
        <v>257</v>
      </c>
      <c r="F7" t="s">
        <v>258</v>
      </c>
      <c r="G7" t="s">
        <v>246</v>
      </c>
      <c r="H7" s="121" t="s">
        <v>333</v>
      </c>
      <c r="I7" s="209" t="s">
        <v>337</v>
      </c>
    </row>
    <row r="8" spans="1:9" x14ac:dyDescent="0.15">
      <c r="A8">
        <v>7</v>
      </c>
      <c r="B8" t="s">
        <v>212</v>
      </c>
      <c r="C8" t="s">
        <v>259</v>
      </c>
      <c r="D8" t="s">
        <v>260</v>
      </c>
      <c r="E8" t="s">
        <v>254</v>
      </c>
      <c r="F8" t="s">
        <v>261</v>
      </c>
      <c r="G8" t="s">
        <v>262</v>
      </c>
      <c r="H8" s="121" t="s">
        <v>333</v>
      </c>
      <c r="I8" s="209" t="s">
        <v>338</v>
      </c>
    </row>
    <row r="9" spans="1:9" x14ac:dyDescent="0.15">
      <c r="A9">
        <v>8</v>
      </c>
      <c r="B9" t="s">
        <v>316</v>
      </c>
      <c r="C9" t="s">
        <v>263</v>
      </c>
      <c r="D9" t="s">
        <v>264</v>
      </c>
      <c r="E9" t="s">
        <v>254</v>
      </c>
      <c r="F9" t="s">
        <v>265</v>
      </c>
      <c r="G9" t="s">
        <v>262</v>
      </c>
      <c r="H9" s="121" t="s">
        <v>333</v>
      </c>
      <c r="I9" s="209" t="s">
        <v>338</v>
      </c>
    </row>
    <row r="10" spans="1:9" x14ac:dyDescent="0.15">
      <c r="A10">
        <v>9</v>
      </c>
      <c r="B10" t="s">
        <v>317</v>
      </c>
      <c r="C10" t="s">
        <v>266</v>
      </c>
      <c r="D10" t="s">
        <v>267</v>
      </c>
      <c r="E10" t="s">
        <v>257</v>
      </c>
      <c r="F10" t="s">
        <v>268</v>
      </c>
      <c r="G10" t="s">
        <v>262</v>
      </c>
      <c r="H10" s="121" t="s">
        <v>333</v>
      </c>
      <c r="I10" s="209" t="s">
        <v>338</v>
      </c>
    </row>
    <row r="11" spans="1:9" x14ac:dyDescent="0.15">
      <c r="A11">
        <v>10</v>
      </c>
      <c r="B11" t="s">
        <v>140</v>
      </c>
      <c r="C11" t="s">
        <v>269</v>
      </c>
      <c r="D11" t="s">
        <v>270</v>
      </c>
      <c r="E11" t="s">
        <v>257</v>
      </c>
      <c r="F11" t="s">
        <v>268</v>
      </c>
      <c r="G11" t="s">
        <v>271</v>
      </c>
      <c r="H11" s="121" t="s">
        <v>333</v>
      </c>
      <c r="I11" s="209" t="s">
        <v>338</v>
      </c>
    </row>
    <row r="12" spans="1:9" x14ac:dyDescent="0.15">
      <c r="A12">
        <v>11</v>
      </c>
      <c r="B12" t="s">
        <v>143</v>
      </c>
      <c r="C12" t="s">
        <v>272</v>
      </c>
      <c r="D12" t="s">
        <v>273</v>
      </c>
      <c r="E12" t="s">
        <v>254</v>
      </c>
      <c r="F12" t="s">
        <v>274</v>
      </c>
      <c r="G12" t="s">
        <v>275</v>
      </c>
      <c r="H12" s="121" t="s">
        <v>333</v>
      </c>
      <c r="I12" s="209" t="s">
        <v>339</v>
      </c>
    </row>
    <row r="13" spans="1:9" x14ac:dyDescent="0.15">
      <c r="A13">
        <v>12</v>
      </c>
      <c r="B13" t="s">
        <v>318</v>
      </c>
      <c r="C13" t="s">
        <v>276</v>
      </c>
      <c r="D13" t="s">
        <v>273</v>
      </c>
      <c r="E13" t="s">
        <v>254</v>
      </c>
      <c r="F13" t="s">
        <v>274</v>
      </c>
      <c r="G13" t="s">
        <v>275</v>
      </c>
      <c r="H13" s="121" t="s">
        <v>333</v>
      </c>
      <c r="I13" s="209" t="s">
        <v>339</v>
      </c>
    </row>
    <row r="14" spans="1:9" x14ac:dyDescent="0.15">
      <c r="A14">
        <v>13</v>
      </c>
      <c r="B14" t="s">
        <v>145</v>
      </c>
      <c r="C14" t="s">
        <v>277</v>
      </c>
      <c r="D14" t="s">
        <v>132</v>
      </c>
      <c r="E14" t="s">
        <v>264</v>
      </c>
      <c r="F14" t="s">
        <v>278</v>
      </c>
      <c r="G14" t="s">
        <v>275</v>
      </c>
      <c r="H14" s="121" t="s">
        <v>333</v>
      </c>
      <c r="I14" s="209" t="s">
        <v>340</v>
      </c>
    </row>
    <row r="15" spans="1:9" x14ac:dyDescent="0.15">
      <c r="A15">
        <v>14</v>
      </c>
      <c r="B15" t="s">
        <v>319</v>
      </c>
      <c r="C15" t="s">
        <v>279</v>
      </c>
      <c r="D15" t="s">
        <v>132</v>
      </c>
      <c r="E15" t="s">
        <v>280</v>
      </c>
      <c r="F15" t="s">
        <v>281</v>
      </c>
      <c r="G15" t="s">
        <v>251</v>
      </c>
      <c r="H15" s="121" t="s">
        <v>333</v>
      </c>
      <c r="I15" s="209" t="s">
        <v>340</v>
      </c>
    </row>
    <row r="16" spans="1:9" x14ac:dyDescent="0.15">
      <c r="A16">
        <v>15</v>
      </c>
      <c r="B16" t="s">
        <v>320</v>
      </c>
      <c r="C16" t="s">
        <v>282</v>
      </c>
      <c r="D16" t="s">
        <v>132</v>
      </c>
      <c r="E16" t="s">
        <v>280</v>
      </c>
      <c r="F16" t="s">
        <v>283</v>
      </c>
      <c r="G16" t="s">
        <v>251</v>
      </c>
      <c r="H16" s="121" t="s">
        <v>333</v>
      </c>
      <c r="I16" s="209" t="s">
        <v>340</v>
      </c>
    </row>
    <row r="17" spans="1:9" x14ac:dyDescent="0.15">
      <c r="A17">
        <v>16</v>
      </c>
      <c r="B17" t="s">
        <v>321</v>
      </c>
      <c r="C17" t="s">
        <v>284</v>
      </c>
      <c r="D17" t="s">
        <v>132</v>
      </c>
      <c r="E17" t="s">
        <v>264</v>
      </c>
      <c r="F17" t="s">
        <v>283</v>
      </c>
      <c r="G17" t="s">
        <v>251</v>
      </c>
      <c r="H17" s="121" t="s">
        <v>333</v>
      </c>
      <c r="I17" s="209" t="s">
        <v>340</v>
      </c>
    </row>
    <row r="18" spans="1:9" x14ac:dyDescent="0.15">
      <c r="A18">
        <v>17</v>
      </c>
      <c r="B18" t="s">
        <v>144</v>
      </c>
      <c r="C18" t="s">
        <v>285</v>
      </c>
      <c r="D18" t="s">
        <v>123</v>
      </c>
      <c r="E18" t="s">
        <v>286</v>
      </c>
      <c r="F18" t="s">
        <v>287</v>
      </c>
      <c r="G18" t="s">
        <v>251</v>
      </c>
      <c r="H18" s="121" t="s">
        <v>333</v>
      </c>
      <c r="I18" s="209" t="s">
        <v>339</v>
      </c>
    </row>
    <row r="19" spans="1:9" x14ac:dyDescent="0.15">
      <c r="A19">
        <v>18</v>
      </c>
      <c r="B19" t="s">
        <v>322</v>
      </c>
      <c r="C19" t="s">
        <v>288</v>
      </c>
      <c r="D19" t="s">
        <v>289</v>
      </c>
      <c r="E19" t="s">
        <v>290</v>
      </c>
      <c r="F19" t="s">
        <v>283</v>
      </c>
      <c r="G19" t="s">
        <v>251</v>
      </c>
      <c r="H19" s="121" t="s">
        <v>334</v>
      </c>
      <c r="I19" s="209" t="s">
        <v>340</v>
      </c>
    </row>
    <row r="20" spans="1:9" x14ac:dyDescent="0.15">
      <c r="A20">
        <v>19</v>
      </c>
      <c r="B20" t="s">
        <v>147</v>
      </c>
      <c r="C20" t="s">
        <v>291</v>
      </c>
      <c r="D20" t="s">
        <v>292</v>
      </c>
      <c r="E20" t="s">
        <v>260</v>
      </c>
      <c r="F20" t="s">
        <v>278</v>
      </c>
      <c r="G20" t="s">
        <v>293</v>
      </c>
      <c r="H20" s="121" t="s">
        <v>334</v>
      </c>
      <c r="I20" s="209" t="s">
        <v>340</v>
      </c>
    </row>
    <row r="21" spans="1:9" x14ac:dyDescent="0.15">
      <c r="A21">
        <v>20</v>
      </c>
      <c r="B21" t="s">
        <v>323</v>
      </c>
      <c r="C21" t="s">
        <v>294</v>
      </c>
      <c r="D21" t="s">
        <v>295</v>
      </c>
      <c r="E21" t="s">
        <v>280</v>
      </c>
      <c r="F21" t="s">
        <v>296</v>
      </c>
      <c r="G21" t="s">
        <v>297</v>
      </c>
      <c r="H21" s="121" t="s">
        <v>334</v>
      </c>
      <c r="I21" s="209" t="s">
        <v>340</v>
      </c>
    </row>
    <row r="22" spans="1:9" x14ac:dyDescent="0.15">
      <c r="A22">
        <v>21</v>
      </c>
      <c r="B22" t="s">
        <v>148</v>
      </c>
      <c r="C22" t="s">
        <v>298</v>
      </c>
      <c r="D22" t="s">
        <v>292</v>
      </c>
      <c r="E22" t="s">
        <v>264</v>
      </c>
      <c r="F22" t="s">
        <v>278</v>
      </c>
      <c r="G22" t="s">
        <v>297</v>
      </c>
      <c r="H22" s="121" t="s">
        <v>334</v>
      </c>
      <c r="I22" s="209" t="s">
        <v>340</v>
      </c>
    </row>
    <row r="23" spans="1:9" x14ac:dyDescent="0.15">
      <c r="A23">
        <v>22</v>
      </c>
      <c r="B23" t="s">
        <v>324</v>
      </c>
      <c r="C23" t="s">
        <v>299</v>
      </c>
      <c r="D23" t="s">
        <v>295</v>
      </c>
      <c r="E23" t="s">
        <v>264</v>
      </c>
      <c r="F23" t="s">
        <v>283</v>
      </c>
      <c r="G23" t="s">
        <v>297</v>
      </c>
      <c r="H23" s="121" t="s">
        <v>334</v>
      </c>
      <c r="I23" s="209" t="s">
        <v>340</v>
      </c>
    </row>
    <row r="24" spans="1:9" x14ac:dyDescent="0.15">
      <c r="A24">
        <v>23</v>
      </c>
      <c r="B24" t="s">
        <v>325</v>
      </c>
      <c r="C24" t="s">
        <v>300</v>
      </c>
      <c r="D24" t="s">
        <v>301</v>
      </c>
      <c r="E24" t="s">
        <v>280</v>
      </c>
      <c r="F24" t="s">
        <v>326</v>
      </c>
      <c r="G24" t="s">
        <v>227</v>
      </c>
      <c r="H24" s="121" t="s">
        <v>335</v>
      </c>
      <c r="I24" s="209" t="s">
        <v>340</v>
      </c>
    </row>
    <row r="25" spans="1:9" x14ac:dyDescent="0.15">
      <c r="A25">
        <v>24</v>
      </c>
      <c r="B25" t="s">
        <v>327</v>
      </c>
      <c r="C25" t="s">
        <v>302</v>
      </c>
      <c r="D25" t="s">
        <v>301</v>
      </c>
      <c r="E25" t="s">
        <v>286</v>
      </c>
      <c r="F25" t="s">
        <v>326</v>
      </c>
      <c r="G25" t="s">
        <v>227</v>
      </c>
      <c r="H25" s="121" t="s">
        <v>335</v>
      </c>
      <c r="I25" s="209" t="s">
        <v>340</v>
      </c>
    </row>
    <row r="26" spans="1:9" x14ac:dyDescent="0.15">
      <c r="A26">
        <v>25</v>
      </c>
      <c r="B26" t="s">
        <v>328</v>
      </c>
      <c r="C26" t="s">
        <v>303</v>
      </c>
      <c r="D26" t="s">
        <v>301</v>
      </c>
      <c r="E26" t="s">
        <v>304</v>
      </c>
      <c r="F26" t="s">
        <v>326</v>
      </c>
      <c r="G26" t="s">
        <v>227</v>
      </c>
      <c r="H26" s="121" t="s">
        <v>335</v>
      </c>
      <c r="I26" s="209" t="s">
        <v>340</v>
      </c>
    </row>
    <row r="27" spans="1:9" x14ac:dyDescent="0.15">
      <c r="A27">
        <v>26</v>
      </c>
      <c r="B27" t="s">
        <v>329</v>
      </c>
      <c r="C27" t="s">
        <v>305</v>
      </c>
      <c r="D27" t="s">
        <v>301</v>
      </c>
      <c r="E27" t="s">
        <v>290</v>
      </c>
      <c r="F27" t="s">
        <v>326</v>
      </c>
      <c r="G27" t="s">
        <v>227</v>
      </c>
      <c r="H27" s="121" t="s">
        <v>335</v>
      </c>
      <c r="I27" s="209" t="s">
        <v>340</v>
      </c>
    </row>
    <row r="28" spans="1:9" x14ac:dyDescent="0.15">
      <c r="A28">
        <v>27</v>
      </c>
      <c r="B28" t="s">
        <v>330</v>
      </c>
      <c r="C28" t="s">
        <v>306</v>
      </c>
      <c r="D28" t="s">
        <v>307</v>
      </c>
      <c r="E28" t="s">
        <v>290</v>
      </c>
      <c r="F28" t="s">
        <v>326</v>
      </c>
      <c r="G28" t="s">
        <v>73</v>
      </c>
      <c r="H28" s="121" t="s">
        <v>335</v>
      </c>
      <c r="I28" s="209" t="s">
        <v>340</v>
      </c>
    </row>
    <row r="29" spans="1:9" x14ac:dyDescent="0.15">
      <c r="A29">
        <v>28</v>
      </c>
      <c r="B29" t="s">
        <v>331</v>
      </c>
      <c r="C29" t="s">
        <v>308</v>
      </c>
      <c r="D29" t="s">
        <v>309</v>
      </c>
      <c r="E29" t="s">
        <v>290</v>
      </c>
      <c r="F29" t="s">
        <v>326</v>
      </c>
      <c r="G29" t="s">
        <v>63</v>
      </c>
      <c r="H29" s="121" t="s">
        <v>335</v>
      </c>
      <c r="I29" s="209" t="s">
        <v>340</v>
      </c>
    </row>
    <row r="30" spans="1:9" x14ac:dyDescent="0.15">
      <c r="A30">
        <v>29</v>
      </c>
      <c r="B30" t="s">
        <v>146</v>
      </c>
      <c r="C30" t="s">
        <v>310</v>
      </c>
      <c r="D30" t="s">
        <v>311</v>
      </c>
      <c r="E30" t="s">
        <v>254</v>
      </c>
      <c r="F30" t="s">
        <v>312</v>
      </c>
      <c r="G30" t="s">
        <v>293</v>
      </c>
      <c r="H30" s="121" t="s">
        <v>333</v>
      </c>
      <c r="I30" s="209" t="s">
        <v>339</v>
      </c>
    </row>
    <row r="31" spans="1:9" x14ac:dyDescent="0.15">
      <c r="B31" s="208"/>
      <c r="C31" s="208"/>
      <c r="D31" s="208"/>
      <c r="E31" s="208"/>
      <c r="F31" s="208"/>
      <c r="G31" s="208"/>
      <c r="H31" s="208"/>
      <c r="I31" s="20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9"/>
  <sheetViews>
    <sheetView topLeftCell="A4" workbookViewId="0">
      <selection activeCell="F37" sqref="F37:L37"/>
    </sheetView>
  </sheetViews>
  <sheetFormatPr baseColWidth="10" defaultColWidth="9.1640625" defaultRowHeight="16" x14ac:dyDescent="0.2"/>
  <cols>
    <col min="1" max="1" width="3.5" style="2" customWidth="1"/>
    <col min="2" max="3" width="3.6640625" style="2" customWidth="1"/>
    <col min="4" max="4" width="40.6640625" style="2" customWidth="1"/>
    <col min="5" max="5" width="3.6640625" style="2" customWidth="1"/>
    <col min="6" max="6" width="6.6640625" style="2" customWidth="1"/>
    <col min="7" max="7" width="1.6640625" style="2" customWidth="1"/>
    <col min="8" max="8" width="12.6640625" style="2" customWidth="1"/>
    <col min="9" max="9" width="1.6640625" style="2" customWidth="1"/>
    <col min="10" max="10" width="7.6640625" style="2" customWidth="1"/>
    <col min="11" max="11" width="3.6640625" style="2" customWidth="1"/>
    <col min="12" max="12" width="18.6640625" style="2" customWidth="1"/>
    <col min="13" max="16384" width="9.1640625" style="2"/>
  </cols>
  <sheetData>
    <row r="1" spans="1:16" ht="20.25" customHeight="1" x14ac:dyDescent="0.2">
      <c r="A1" s="126" t="s">
        <v>191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P1" s="110"/>
    </row>
    <row r="2" spans="1:16" ht="17" x14ac:dyDescent="0.2">
      <c r="A2" s="126" t="s">
        <v>192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P2" s="111"/>
    </row>
    <row r="3" spans="1:16" ht="17" x14ac:dyDescent="0.2">
      <c r="A3" s="128" t="s">
        <v>193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P3" s="111"/>
    </row>
    <row r="4" spans="1:16" ht="17" x14ac:dyDescent="0.2">
      <c r="A4" s="127" t="s">
        <v>96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P4" s="111"/>
    </row>
    <row r="5" spans="1:16" x14ac:dyDescent="0.2">
      <c r="A5" s="131" t="s">
        <v>194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P5" s="111"/>
    </row>
    <row r="6" spans="1:16" ht="14" customHeight="1" x14ac:dyDescent="0.2">
      <c r="A6" s="131" t="s">
        <v>195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P6" s="111"/>
    </row>
    <row r="7" spans="1:16" ht="15" customHeight="1" thickBot="1" x14ac:dyDescent="0.25">
      <c r="A7" s="136" t="s">
        <v>196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P7" s="112"/>
    </row>
    <row r="8" spans="1:16" ht="9" customHeight="1" thickTop="1" x14ac:dyDescent="0.2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P8" s="113"/>
    </row>
    <row r="9" spans="1:16" x14ac:dyDescent="0.2">
      <c r="G9" s="3"/>
      <c r="H9" s="2" t="s">
        <v>0</v>
      </c>
      <c r="I9" s="3" t="s">
        <v>36</v>
      </c>
      <c r="J9" s="104">
        <f>'BLANKO ISIAN'!$C$5</f>
        <v>1</v>
      </c>
      <c r="K9" s="97"/>
      <c r="P9" s="111"/>
    </row>
    <row r="10" spans="1:16" ht="15.75" customHeight="1" x14ac:dyDescent="0.2">
      <c r="A10" s="64"/>
      <c r="G10" s="3"/>
      <c r="H10" s="2" t="s">
        <v>1</v>
      </c>
      <c r="I10" s="3" t="s">
        <v>36</v>
      </c>
      <c r="J10" s="106"/>
      <c r="K10" s="129" t="str">
        <f>'BLANKO ISIAN'!D7</f>
        <v>/SPD/2026</v>
      </c>
      <c r="L10" s="129"/>
      <c r="P10" s="114"/>
    </row>
    <row r="11" spans="1:16" ht="23.5" customHeight="1" x14ac:dyDescent="0.2">
      <c r="G11" s="3"/>
      <c r="H11" s="2" t="s">
        <v>2</v>
      </c>
      <c r="I11" s="3" t="s">
        <v>36</v>
      </c>
      <c r="J11" s="130" t="str">
        <f>'BLANKO ISIAN'!C9</f>
        <v>25/KPA.W17-A8/KP7.1/I/2026</v>
      </c>
      <c r="K11" s="130"/>
      <c r="L11" s="130"/>
      <c r="P11" s="115"/>
    </row>
    <row r="12" spans="1:16" ht="8.25" customHeight="1" x14ac:dyDescent="0.2"/>
    <row r="13" spans="1:16" ht="18" x14ac:dyDescent="0.2">
      <c r="A13" s="166" t="s">
        <v>93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</row>
    <row r="15" spans="1:16" ht="15" customHeight="1" x14ac:dyDescent="0.2">
      <c r="A15" s="6" t="s">
        <v>3</v>
      </c>
      <c r="B15" s="132" t="s">
        <v>100</v>
      </c>
      <c r="C15" s="132"/>
      <c r="D15" s="133"/>
      <c r="E15" s="169" t="str">
        <f>'BLANKO ISIAN'!$C$11</f>
        <v>Muhammad Zaim Noor, S.H.</v>
      </c>
      <c r="F15" s="170"/>
      <c r="G15" s="170"/>
      <c r="H15" s="170"/>
      <c r="I15" s="170"/>
      <c r="J15" s="170"/>
      <c r="K15" s="170"/>
      <c r="L15" s="171"/>
      <c r="M15" s="5"/>
      <c r="N15" s="5"/>
      <c r="O15" s="5"/>
    </row>
    <row r="16" spans="1:16" ht="15" customHeight="1" x14ac:dyDescent="0.2">
      <c r="A16" s="7"/>
      <c r="B16" s="134"/>
      <c r="C16" s="134"/>
      <c r="D16" s="135"/>
      <c r="E16" s="181" t="str">
        <f>'BLANKO ISIAN'!$C$12</f>
        <v>NIP. 19880202 200805 1 001</v>
      </c>
      <c r="F16" s="182"/>
      <c r="G16" s="182"/>
      <c r="H16" s="182"/>
      <c r="I16" s="182"/>
      <c r="J16" s="182"/>
      <c r="K16" s="182"/>
      <c r="L16" s="183"/>
      <c r="M16" s="5"/>
      <c r="N16" s="5"/>
      <c r="O16" s="5"/>
    </row>
    <row r="17" spans="1:15" ht="20" customHeight="1" x14ac:dyDescent="0.2">
      <c r="A17" s="6" t="s">
        <v>4</v>
      </c>
      <c r="B17" s="173" t="s">
        <v>85</v>
      </c>
      <c r="C17" s="173"/>
      <c r="D17" s="174"/>
      <c r="E17" s="169" t="str">
        <f>'BLANKO ISIAN'!$C$14</f>
        <v>Muhammad Zaim Noor, S.H.</v>
      </c>
      <c r="F17" s="170"/>
      <c r="G17" s="170"/>
      <c r="H17" s="170"/>
      <c r="I17" s="170"/>
      <c r="J17" s="170"/>
      <c r="K17" s="170"/>
      <c r="L17" s="171"/>
      <c r="M17" s="3"/>
      <c r="N17" s="3"/>
      <c r="O17" s="3"/>
    </row>
    <row r="18" spans="1:15" ht="20" customHeight="1" x14ac:dyDescent="0.2">
      <c r="A18" s="11"/>
      <c r="B18" s="184"/>
      <c r="C18" s="184"/>
      <c r="D18" s="185"/>
      <c r="E18" s="181" t="str">
        <f>'BLANKO ISIAN'!C15</f>
        <v>NIP. 200106132024052000</v>
      </c>
      <c r="F18" s="182"/>
      <c r="G18" s="182"/>
      <c r="H18" s="182"/>
      <c r="I18" s="182"/>
      <c r="J18" s="182"/>
      <c r="K18" s="182"/>
      <c r="L18" s="183"/>
      <c r="M18" s="3"/>
      <c r="N18" s="3"/>
      <c r="O18" s="3"/>
    </row>
    <row r="19" spans="1:15" ht="30" customHeight="1" x14ac:dyDescent="0.2">
      <c r="A19" s="6" t="s">
        <v>5</v>
      </c>
      <c r="B19" s="13" t="s">
        <v>6</v>
      </c>
      <c r="C19" s="132" t="s">
        <v>7</v>
      </c>
      <c r="D19" s="132"/>
      <c r="E19" s="20" t="s">
        <v>6</v>
      </c>
      <c r="F19" s="172" t="str">
        <f>'BLANKO ISIAN'!C17</f>
        <v>Penata Muda / III/a</v>
      </c>
      <c r="G19" s="173"/>
      <c r="H19" s="173"/>
      <c r="I19" s="173"/>
      <c r="J19" s="173"/>
      <c r="K19" s="173"/>
      <c r="L19" s="174"/>
    </row>
    <row r="20" spans="1:15" ht="33.75" customHeight="1" x14ac:dyDescent="0.2">
      <c r="A20" s="9"/>
      <c r="B20" s="107" t="s">
        <v>8</v>
      </c>
      <c r="C20" s="108" t="s">
        <v>9</v>
      </c>
      <c r="D20" s="108"/>
      <c r="E20" s="109" t="s">
        <v>8</v>
      </c>
      <c r="F20" s="140" t="str">
        <f>'BLANKO ISIAN'!C19</f>
        <v>Analis Perkara Peradilan</v>
      </c>
      <c r="G20" s="141"/>
      <c r="H20" s="141"/>
      <c r="I20" s="141"/>
      <c r="J20" s="141"/>
      <c r="K20" s="141"/>
      <c r="L20" s="142"/>
    </row>
    <row r="21" spans="1:15" ht="15.75" customHeight="1" x14ac:dyDescent="0.2">
      <c r="A21" s="9"/>
      <c r="B21" s="8" t="s">
        <v>10</v>
      </c>
      <c r="C21" s="137" t="s">
        <v>11</v>
      </c>
      <c r="D21" s="137"/>
      <c r="E21" s="21" t="s">
        <v>10</v>
      </c>
      <c r="F21" s="145" t="str">
        <f>'BLANKO ISIAN'!$C$21</f>
        <v>Tingkat C</v>
      </c>
      <c r="G21" s="146"/>
      <c r="H21" s="146"/>
      <c r="I21" s="146"/>
      <c r="J21" s="146"/>
      <c r="K21" s="146"/>
      <c r="L21" s="147"/>
    </row>
    <row r="22" spans="1:15" ht="17" x14ac:dyDescent="0.2">
      <c r="A22" s="6" t="s">
        <v>12</v>
      </c>
      <c r="B22" s="14" t="s">
        <v>13</v>
      </c>
      <c r="C22" s="14"/>
      <c r="D22" s="14"/>
      <c r="E22" s="138" t="s">
        <v>14</v>
      </c>
      <c r="F22" s="132"/>
      <c r="G22" s="132"/>
      <c r="H22" s="132" t="str">
        <f>'BLANKO ISIAN'!$C$23</f>
        <v>Kecamatan Sepaku</v>
      </c>
      <c r="I22" s="132"/>
      <c r="J22" s="132"/>
      <c r="K22" s="132"/>
      <c r="L22" s="133"/>
      <c r="M22" s="4"/>
      <c r="N22" s="4"/>
    </row>
    <row r="23" spans="1:15" ht="88.25" customHeight="1" x14ac:dyDescent="0.2">
      <c r="A23" s="15"/>
      <c r="B23" s="16"/>
      <c r="C23" s="16"/>
      <c r="D23" s="16"/>
      <c r="E23" s="139" t="s">
        <v>15</v>
      </c>
      <c r="F23" s="134"/>
      <c r="G23" s="134"/>
      <c r="H23" s="167" t="str">
        <f>'BLANKO ISIAN'!$C$26</f>
        <v>Verifikasi sidang di luar gedung Kecamatan Sepaku</v>
      </c>
      <c r="I23" s="167"/>
      <c r="J23" s="167"/>
      <c r="K23" s="167"/>
      <c r="L23" s="168"/>
      <c r="M23" s="4"/>
      <c r="N23" s="4"/>
    </row>
    <row r="24" spans="1:15" ht="17" x14ac:dyDescent="0.2">
      <c r="A24" s="12" t="s">
        <v>16</v>
      </c>
      <c r="B24" s="18" t="s">
        <v>17</v>
      </c>
      <c r="C24" s="18"/>
      <c r="D24" s="18"/>
      <c r="E24" s="160" t="str">
        <f>'BLANKO ISIAN'!$C$28</f>
        <v>Angkutan Darat dan Laut</v>
      </c>
      <c r="F24" s="161"/>
      <c r="G24" s="161"/>
      <c r="H24" s="161"/>
      <c r="I24" s="161"/>
      <c r="J24" s="161"/>
      <c r="K24" s="161"/>
      <c r="L24" s="162"/>
    </row>
    <row r="25" spans="1:15" ht="17" x14ac:dyDescent="0.2">
      <c r="A25" s="7" t="s">
        <v>18</v>
      </c>
      <c r="B25" s="8" t="s">
        <v>6</v>
      </c>
      <c r="C25" s="137" t="s">
        <v>20</v>
      </c>
      <c r="D25" s="137"/>
      <c r="E25" s="21" t="s">
        <v>6</v>
      </c>
      <c r="F25" s="154" t="str">
        <f>'BLANKO ISIAN'!$C$30</f>
        <v>Penajam</v>
      </c>
      <c r="G25" s="155"/>
      <c r="H25" s="155"/>
      <c r="I25" s="155"/>
      <c r="J25" s="155"/>
      <c r="K25" s="155"/>
      <c r="L25" s="156"/>
    </row>
    <row r="26" spans="1:15" ht="17" x14ac:dyDescent="0.2">
      <c r="A26" s="7"/>
      <c r="B26" s="8" t="s">
        <v>8</v>
      </c>
      <c r="C26" s="137" t="s">
        <v>21</v>
      </c>
      <c r="D26" s="137"/>
      <c r="E26" s="21" t="s">
        <v>8</v>
      </c>
      <c r="F26" s="175" t="str">
        <f>'BLANKO ISIAN'!$C$32</f>
        <v>Sepaku</v>
      </c>
      <c r="G26" s="176"/>
      <c r="H26" s="176"/>
      <c r="I26" s="176"/>
      <c r="J26" s="176"/>
      <c r="K26" s="176"/>
      <c r="L26" s="177"/>
    </row>
    <row r="27" spans="1:15" ht="17" x14ac:dyDescent="0.2">
      <c r="A27" s="6" t="s">
        <v>19</v>
      </c>
      <c r="B27" s="13" t="s">
        <v>6</v>
      </c>
      <c r="C27" s="132" t="s">
        <v>22</v>
      </c>
      <c r="D27" s="132"/>
      <c r="E27" s="20" t="s">
        <v>6</v>
      </c>
      <c r="F27" s="24">
        <f>'BLANKO ISIAN'!$C$34</f>
        <v>2</v>
      </c>
      <c r="G27" s="14" t="s">
        <v>25</v>
      </c>
      <c r="H27" s="14"/>
      <c r="I27" s="14"/>
      <c r="J27" s="14"/>
      <c r="K27" s="14"/>
      <c r="L27" s="19"/>
    </row>
    <row r="28" spans="1:15" ht="17" x14ac:dyDescent="0.2">
      <c r="A28" s="9"/>
      <c r="B28" s="8" t="s">
        <v>8</v>
      </c>
      <c r="C28" s="137" t="s">
        <v>23</v>
      </c>
      <c r="D28" s="137"/>
      <c r="E28" s="21" t="s">
        <v>8</v>
      </c>
      <c r="F28" s="163" t="str">
        <f>'BLANKO ISIAN'!$C$36</f>
        <v>8 Januari 2026</v>
      </c>
      <c r="G28" s="150"/>
      <c r="H28" s="150"/>
      <c r="I28" s="150"/>
      <c r="J28" s="150"/>
      <c r="K28" s="150"/>
      <c r="L28" s="151"/>
    </row>
    <row r="29" spans="1:15" ht="15.75" customHeight="1" x14ac:dyDescent="0.2">
      <c r="A29" s="15"/>
      <c r="B29" s="17" t="s">
        <v>10</v>
      </c>
      <c r="C29" s="134" t="s">
        <v>24</v>
      </c>
      <c r="D29" s="134"/>
      <c r="E29" s="22" t="s">
        <v>10</v>
      </c>
      <c r="F29" s="178" t="str">
        <f>'BLANKO ISIAN'!$C$38</f>
        <v>9 Januari 2026</v>
      </c>
      <c r="G29" s="179"/>
      <c r="H29" s="179"/>
      <c r="I29" s="179"/>
      <c r="J29" s="179"/>
      <c r="K29" s="179"/>
      <c r="L29" s="180"/>
    </row>
    <row r="30" spans="1:15" ht="17" x14ac:dyDescent="0.2">
      <c r="A30" s="7" t="s">
        <v>26</v>
      </c>
      <c r="B30" s="2" t="s">
        <v>27</v>
      </c>
      <c r="E30" s="152" t="s">
        <v>28</v>
      </c>
      <c r="F30" s="153"/>
      <c r="G30" s="153"/>
      <c r="H30" s="153"/>
      <c r="I30" s="3"/>
      <c r="J30" s="157" t="s">
        <v>29</v>
      </c>
      <c r="K30" s="158"/>
      <c r="L30" s="159"/>
    </row>
    <row r="31" spans="1:15" x14ac:dyDescent="0.2">
      <c r="A31" s="9"/>
      <c r="B31" s="10" t="s">
        <v>3</v>
      </c>
      <c r="C31" s="144">
        <f>'BLANKO ISIAN'!$B$42</f>
        <v>0</v>
      </c>
      <c r="D31" s="148"/>
      <c r="E31" s="143">
        <f>'BLANKO ISIAN'!$C$42</f>
        <v>0</v>
      </c>
      <c r="F31" s="144"/>
      <c r="G31" s="144"/>
      <c r="H31" s="144"/>
      <c r="I31" s="102"/>
      <c r="J31" s="143">
        <f>'BLANKO ISIAN'!$D$42</f>
        <v>0</v>
      </c>
      <c r="K31" s="144"/>
      <c r="L31" s="148"/>
    </row>
    <row r="32" spans="1:15" x14ac:dyDescent="0.2">
      <c r="A32" s="9"/>
      <c r="B32" s="10" t="s">
        <v>4</v>
      </c>
      <c r="C32" s="144">
        <f>'BLANKO ISIAN'!$B$43</f>
        <v>0</v>
      </c>
      <c r="D32" s="144"/>
      <c r="E32" s="143">
        <f>'BLANKO ISIAN'!$C$43</f>
        <v>0</v>
      </c>
      <c r="F32" s="144"/>
      <c r="G32" s="144"/>
      <c r="H32" s="144"/>
      <c r="I32" s="102"/>
      <c r="J32" s="143">
        <f>'BLANKO ISIAN'!$D$43</f>
        <v>0</v>
      </c>
      <c r="K32" s="144"/>
      <c r="L32" s="148"/>
    </row>
    <row r="33" spans="1:12" x14ac:dyDescent="0.2">
      <c r="A33" s="9"/>
      <c r="B33" s="10" t="s">
        <v>5</v>
      </c>
      <c r="C33" s="144">
        <f>'BLANKO ISIAN'!$B$44</f>
        <v>0</v>
      </c>
      <c r="D33" s="144"/>
      <c r="E33" s="143">
        <f>'BLANKO ISIAN'!$C$44</f>
        <v>0</v>
      </c>
      <c r="F33" s="144"/>
      <c r="G33" s="144"/>
      <c r="H33" s="144"/>
      <c r="I33" s="102"/>
      <c r="J33" s="143">
        <f>'BLANKO ISIAN'!$D$44</f>
        <v>0</v>
      </c>
      <c r="K33" s="144"/>
      <c r="L33" s="148"/>
    </row>
    <row r="34" spans="1:12" x14ac:dyDescent="0.2">
      <c r="A34" s="9"/>
      <c r="B34" s="10" t="s">
        <v>12</v>
      </c>
      <c r="C34" s="144">
        <f>'BLANKO ISIAN'!$B$45</f>
        <v>0</v>
      </c>
      <c r="D34" s="144"/>
      <c r="E34" s="143">
        <f>'BLANKO ISIAN'!$C$45</f>
        <v>0</v>
      </c>
      <c r="F34" s="144"/>
      <c r="G34" s="144"/>
      <c r="H34" s="144"/>
      <c r="I34" s="102"/>
      <c r="J34" s="143">
        <f>'BLANKO ISIAN'!$D$45</f>
        <v>0</v>
      </c>
      <c r="K34" s="144"/>
      <c r="L34" s="148"/>
    </row>
    <row r="35" spans="1:12" ht="17" x14ac:dyDescent="0.2">
      <c r="A35" s="6" t="s">
        <v>30</v>
      </c>
      <c r="B35" s="14" t="s">
        <v>31</v>
      </c>
      <c r="C35" s="14"/>
      <c r="D35" s="14"/>
      <c r="E35" s="23"/>
      <c r="F35" s="23"/>
      <c r="G35" s="14"/>
      <c r="H35" s="14"/>
      <c r="I35" s="14"/>
      <c r="J35" s="14"/>
      <c r="K35" s="14"/>
      <c r="L35" s="19"/>
    </row>
    <row r="36" spans="1:12" ht="17" x14ac:dyDescent="0.2">
      <c r="A36" s="9"/>
      <c r="B36" s="8" t="s">
        <v>6</v>
      </c>
      <c r="C36" s="2" t="s">
        <v>32</v>
      </c>
      <c r="E36" s="21" t="s">
        <v>6</v>
      </c>
      <c r="F36" s="149" t="str">
        <f>'BLANKO ISIAN'!$C$49</f>
        <v xml:space="preserve">Pengadilan Agama Penajam </v>
      </c>
      <c r="G36" s="150"/>
      <c r="H36" s="150"/>
      <c r="I36" s="150"/>
      <c r="J36" s="150"/>
      <c r="K36" s="150"/>
      <c r="L36" s="151"/>
    </row>
    <row r="37" spans="1:12" ht="17" x14ac:dyDescent="0.2">
      <c r="A37" s="15"/>
      <c r="B37" s="17" t="s">
        <v>8</v>
      </c>
      <c r="C37" s="16" t="s">
        <v>87</v>
      </c>
      <c r="D37" s="16"/>
      <c r="E37" s="22" t="s">
        <v>8</v>
      </c>
      <c r="F37" s="145">
        <f>'BLANKO ISIAN'!$C$50</f>
        <v>524113</v>
      </c>
      <c r="G37" s="146"/>
      <c r="H37" s="146"/>
      <c r="I37" s="146"/>
      <c r="J37" s="146"/>
      <c r="K37" s="146"/>
      <c r="L37" s="147"/>
    </row>
    <row r="38" spans="1:12" ht="17" x14ac:dyDescent="0.2">
      <c r="A38" s="11" t="s">
        <v>34</v>
      </c>
      <c r="B38" s="134" t="s">
        <v>35</v>
      </c>
      <c r="C38" s="134"/>
      <c r="D38" s="134"/>
      <c r="E38" s="139"/>
      <c r="F38" s="134"/>
      <c r="G38" s="134"/>
      <c r="H38" s="134"/>
      <c r="I38" s="134"/>
      <c r="J38" s="134"/>
      <c r="K38" s="134"/>
      <c r="L38" s="135"/>
    </row>
    <row r="40" spans="1:12" x14ac:dyDescent="0.2">
      <c r="E40" s="1"/>
      <c r="G40" s="2" t="s">
        <v>37</v>
      </c>
      <c r="H40" s="28"/>
      <c r="I40" s="3" t="s">
        <v>36</v>
      </c>
      <c r="J40" s="28" t="str">
        <f>'BLANKO ISIAN'!$C$52</f>
        <v>Penajam</v>
      </c>
      <c r="K40" s="28"/>
      <c r="L40" s="28"/>
    </row>
    <row r="41" spans="1:12" x14ac:dyDescent="0.2">
      <c r="E41" s="1"/>
      <c r="G41" s="2" t="s">
        <v>38</v>
      </c>
      <c r="H41" s="28"/>
      <c r="I41" s="3" t="s">
        <v>36</v>
      </c>
      <c r="J41" s="28" t="str">
        <f>'BLANKO ISIAN'!$C$53</f>
        <v>7 Januari 2026</v>
      </c>
      <c r="K41" s="28"/>
      <c r="L41" s="28"/>
    </row>
    <row r="42" spans="1:12" x14ac:dyDescent="0.2">
      <c r="E42" s="1"/>
      <c r="H42" s="28"/>
      <c r="I42" s="3"/>
      <c r="J42" s="28"/>
      <c r="K42" s="28"/>
      <c r="L42" s="28"/>
    </row>
    <row r="43" spans="1:12" x14ac:dyDescent="0.2">
      <c r="E43" s="98"/>
      <c r="F43" s="98"/>
      <c r="G43" s="98" t="s">
        <v>101</v>
      </c>
      <c r="H43" s="98"/>
      <c r="I43" s="98"/>
      <c r="J43" s="98"/>
      <c r="K43" s="98"/>
      <c r="L43" s="98"/>
    </row>
    <row r="44" spans="1:12" x14ac:dyDescent="0.2">
      <c r="E44" s="98"/>
      <c r="F44" s="98"/>
      <c r="G44" s="98" t="s">
        <v>98</v>
      </c>
      <c r="H44" s="98"/>
      <c r="I44" s="98"/>
      <c r="J44" s="98"/>
      <c r="K44" s="98"/>
      <c r="L44" s="98"/>
    </row>
    <row r="48" spans="1:12" x14ac:dyDescent="0.2">
      <c r="E48" s="99"/>
      <c r="F48" s="99"/>
      <c r="G48" s="164" t="s">
        <v>102</v>
      </c>
      <c r="H48" s="164"/>
      <c r="I48" s="165"/>
      <c r="J48" s="165"/>
      <c r="K48" s="165"/>
      <c r="L48" s="165"/>
    </row>
    <row r="49" spans="5:12" ht="15.75" customHeight="1" x14ac:dyDescent="0.2">
      <c r="E49" s="98"/>
      <c r="F49" s="98"/>
      <c r="G49" s="98" t="s">
        <v>103</v>
      </c>
      <c r="H49" s="98"/>
      <c r="I49" s="98"/>
      <c r="J49" s="98"/>
      <c r="K49" s="98"/>
      <c r="L49" s="98"/>
    </row>
  </sheetData>
  <mergeCells count="54">
    <mergeCell ref="G48:L48"/>
    <mergeCell ref="C31:D31"/>
    <mergeCell ref="C32:D32"/>
    <mergeCell ref="C33:D33"/>
    <mergeCell ref="A13:L13"/>
    <mergeCell ref="H23:L23"/>
    <mergeCell ref="E17:L17"/>
    <mergeCell ref="F19:L19"/>
    <mergeCell ref="F26:L26"/>
    <mergeCell ref="F21:L21"/>
    <mergeCell ref="F29:L29"/>
    <mergeCell ref="C19:D19"/>
    <mergeCell ref="E15:L15"/>
    <mergeCell ref="E16:L16"/>
    <mergeCell ref="E18:L18"/>
    <mergeCell ref="B17:D18"/>
    <mergeCell ref="J31:L31"/>
    <mergeCell ref="J32:L32"/>
    <mergeCell ref="E31:H31"/>
    <mergeCell ref="E32:H32"/>
    <mergeCell ref="F28:L28"/>
    <mergeCell ref="H22:L22"/>
    <mergeCell ref="J30:L30"/>
    <mergeCell ref="C28:D28"/>
    <mergeCell ref="C27:D27"/>
    <mergeCell ref="E24:L24"/>
    <mergeCell ref="C25:D25"/>
    <mergeCell ref="C26:D26"/>
    <mergeCell ref="C21:D21"/>
    <mergeCell ref="E22:G22"/>
    <mergeCell ref="E23:G23"/>
    <mergeCell ref="F20:L20"/>
    <mergeCell ref="E38:L38"/>
    <mergeCell ref="B38:D38"/>
    <mergeCell ref="E33:H33"/>
    <mergeCell ref="E34:H34"/>
    <mergeCell ref="F37:L37"/>
    <mergeCell ref="J33:L33"/>
    <mergeCell ref="J34:L34"/>
    <mergeCell ref="F36:L36"/>
    <mergeCell ref="C34:D34"/>
    <mergeCell ref="C29:D29"/>
    <mergeCell ref="E30:H30"/>
    <mergeCell ref="F25:L25"/>
    <mergeCell ref="J11:L11"/>
    <mergeCell ref="A6:L6"/>
    <mergeCell ref="A5:L5"/>
    <mergeCell ref="B15:D16"/>
    <mergeCell ref="A7:L7"/>
    <mergeCell ref="A1:L1"/>
    <mergeCell ref="A4:L4"/>
    <mergeCell ref="A3:L3"/>
    <mergeCell ref="A2:L2"/>
    <mergeCell ref="K10:L10"/>
  </mergeCells>
  <phoneticPr fontId="6" type="noConversion"/>
  <pageMargins left="0.47244094488188981" right="0.19685039370078741" top="0.19685039370078741" bottom="0.19685039370078741" header="0.51181102362204722" footer="0.51181102362204722"/>
  <pageSetup paperSize="9" scale="91" orientation="portrait" horizont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66"/>
  <sheetViews>
    <sheetView workbookViewId="0">
      <selection activeCell="N29" sqref="N29"/>
    </sheetView>
  </sheetViews>
  <sheetFormatPr baseColWidth="10" defaultColWidth="8.83203125" defaultRowHeight="13" x14ac:dyDescent="0.15"/>
  <cols>
    <col min="1" max="1" width="4.6640625" customWidth="1"/>
    <col min="2" max="2" width="16.6640625" customWidth="1"/>
    <col min="3" max="3" width="1.6640625" customWidth="1"/>
    <col min="4" max="4" width="23.6640625" customWidth="1"/>
    <col min="5" max="6" width="2.6640625" customWidth="1"/>
    <col min="7" max="7" width="18.6640625" customWidth="1"/>
    <col min="8" max="8" width="1.6640625" customWidth="1"/>
    <col min="9" max="9" width="2.6640625" customWidth="1"/>
    <col min="11" max="11" width="13.6640625" customWidth="1"/>
    <col min="12" max="12" width="2.6640625" customWidth="1"/>
  </cols>
  <sheetData>
    <row r="1" spans="1:22" ht="25" customHeight="1" x14ac:dyDescent="0.15">
      <c r="A1" s="75"/>
      <c r="B1" s="76"/>
      <c r="C1" s="76"/>
      <c r="D1" s="76"/>
      <c r="E1" s="76"/>
      <c r="F1" s="77" t="s">
        <v>63</v>
      </c>
      <c r="G1" s="78" t="s">
        <v>56</v>
      </c>
      <c r="H1" s="79" t="s">
        <v>36</v>
      </c>
      <c r="I1" s="190" t="str">
        <f>'BLANKO ISIAN'!$C$30</f>
        <v>Penajam</v>
      </c>
      <c r="J1" s="190"/>
      <c r="K1" s="190"/>
      <c r="L1" s="80"/>
    </row>
    <row r="2" spans="1:22" x14ac:dyDescent="0.15">
      <c r="A2" s="81"/>
      <c r="F2" s="34"/>
      <c r="G2" t="s">
        <v>62</v>
      </c>
      <c r="H2" s="36" t="s">
        <v>36</v>
      </c>
      <c r="I2" s="101" t="str">
        <f>'BLANKO ISIAN'!$C$36</f>
        <v>8 Januari 2026</v>
      </c>
      <c r="J2" s="37"/>
      <c r="K2" s="39"/>
      <c r="L2" s="82"/>
    </row>
    <row r="3" spans="1:22" x14ac:dyDescent="0.15">
      <c r="A3" s="81"/>
      <c r="F3" s="34"/>
      <c r="G3" t="s">
        <v>64</v>
      </c>
      <c r="H3" s="36" t="s">
        <v>36</v>
      </c>
      <c r="I3" s="186" t="str">
        <f>'BLANKO ISIAN'!$C$32</f>
        <v>Sepaku</v>
      </c>
      <c r="J3" s="186"/>
      <c r="K3" s="186"/>
      <c r="L3" s="83"/>
      <c r="O3" s="189"/>
      <c r="P3" s="189"/>
      <c r="Q3" s="189"/>
    </row>
    <row r="4" spans="1:22" ht="7" customHeight="1" x14ac:dyDescent="0.15">
      <c r="A4" s="81"/>
      <c r="F4" s="34"/>
      <c r="L4" s="84"/>
    </row>
    <row r="5" spans="1:22" x14ac:dyDescent="0.15">
      <c r="A5" s="81"/>
      <c r="F5" s="34"/>
      <c r="G5" s="191" t="s">
        <v>115</v>
      </c>
      <c r="H5" s="186"/>
      <c r="I5" s="186"/>
      <c r="J5" s="186"/>
      <c r="K5" s="186"/>
      <c r="L5" s="82"/>
      <c r="P5" s="191" t="s">
        <v>111</v>
      </c>
      <c r="Q5" s="186"/>
      <c r="R5" s="186"/>
      <c r="S5" s="186"/>
      <c r="T5" s="186"/>
      <c r="V5" t="s">
        <v>115</v>
      </c>
    </row>
    <row r="6" spans="1:22" x14ac:dyDescent="0.15">
      <c r="A6" s="81"/>
      <c r="F6" s="34"/>
      <c r="G6" s="186" t="str">
        <f>'BLANKO ISIAN'!$C$56</f>
        <v>Pengadilan Agama Penajam</v>
      </c>
      <c r="H6" s="186"/>
      <c r="I6" s="186"/>
      <c r="J6" s="186"/>
      <c r="K6" s="186"/>
      <c r="L6" s="82"/>
      <c r="P6" s="186" t="str">
        <f>'BLANKO ISIAN'!$C$56</f>
        <v>Pengadilan Agama Penajam</v>
      </c>
      <c r="Q6" s="186"/>
      <c r="R6" s="186"/>
      <c r="S6" s="186"/>
      <c r="T6" s="186"/>
      <c r="V6" t="s">
        <v>99</v>
      </c>
    </row>
    <row r="7" spans="1:22" x14ac:dyDescent="0.15">
      <c r="A7" s="81"/>
      <c r="F7" s="34"/>
      <c r="G7" s="37"/>
      <c r="H7" s="37"/>
      <c r="I7" s="37"/>
      <c r="J7" s="37"/>
      <c r="K7" s="37"/>
      <c r="L7" s="82"/>
      <c r="P7" s="37"/>
      <c r="Q7" s="37"/>
      <c r="R7" s="37"/>
      <c r="S7" s="37"/>
      <c r="T7" s="37"/>
    </row>
    <row r="8" spans="1:22" x14ac:dyDescent="0.15">
      <c r="A8" s="81"/>
      <c r="F8" s="34"/>
      <c r="G8" s="39"/>
      <c r="H8" s="39"/>
      <c r="I8" s="39"/>
      <c r="J8" s="39"/>
      <c r="K8" s="39"/>
      <c r="L8" s="82"/>
      <c r="P8" s="37"/>
      <c r="Q8" s="37"/>
      <c r="R8" s="37"/>
      <c r="S8" s="37"/>
      <c r="T8" s="37"/>
    </row>
    <row r="9" spans="1:22" x14ac:dyDescent="0.15">
      <c r="A9" s="81"/>
      <c r="F9" s="34"/>
      <c r="L9" s="84"/>
      <c r="P9" s="39"/>
      <c r="Q9" s="39"/>
      <c r="R9" s="39"/>
      <c r="S9" s="39"/>
      <c r="T9" s="39"/>
    </row>
    <row r="10" spans="1:22" x14ac:dyDescent="0.15">
      <c r="A10" s="81"/>
      <c r="F10" s="34"/>
      <c r="G10" s="194" t="s">
        <v>213</v>
      </c>
      <c r="H10" s="195" t="s">
        <v>186</v>
      </c>
      <c r="I10" s="195" t="s">
        <v>186</v>
      </c>
      <c r="J10" s="195" t="s">
        <v>186</v>
      </c>
      <c r="K10" s="195" t="s">
        <v>186</v>
      </c>
      <c r="L10" s="84"/>
      <c r="V10" t="s">
        <v>186</v>
      </c>
    </row>
    <row r="11" spans="1:22" ht="13.25" customHeight="1" x14ac:dyDescent="0.15">
      <c r="A11" s="81"/>
      <c r="F11" s="34"/>
      <c r="G11" s="192" t="s">
        <v>200</v>
      </c>
      <c r="H11" s="193" t="s">
        <v>187</v>
      </c>
      <c r="I11" s="193" t="s">
        <v>187</v>
      </c>
      <c r="J11" s="193" t="s">
        <v>187</v>
      </c>
      <c r="K11" s="193" t="s">
        <v>187</v>
      </c>
      <c r="L11" s="85"/>
      <c r="P11" s="194" t="s">
        <v>110</v>
      </c>
      <c r="Q11" s="195"/>
      <c r="R11" s="195"/>
      <c r="S11" s="195"/>
      <c r="T11" s="195"/>
      <c r="V11" t="s">
        <v>187</v>
      </c>
    </row>
    <row r="12" spans="1:22" x14ac:dyDescent="0.15">
      <c r="A12" s="81"/>
      <c r="F12" s="34"/>
      <c r="G12" s="193"/>
      <c r="H12" s="193"/>
      <c r="I12" s="193"/>
      <c r="J12" s="193"/>
      <c r="K12" s="193"/>
      <c r="L12" s="86"/>
      <c r="P12" s="192" t="s">
        <v>176</v>
      </c>
      <c r="Q12" s="193"/>
      <c r="R12" s="193"/>
      <c r="S12" s="193"/>
      <c r="T12" s="193"/>
    </row>
    <row r="13" spans="1:22" ht="7" customHeight="1" x14ac:dyDescent="0.15">
      <c r="A13" s="81"/>
      <c r="F13" s="34"/>
      <c r="G13" s="40"/>
      <c r="H13" s="40"/>
      <c r="I13" s="40"/>
      <c r="J13" s="40"/>
      <c r="K13" s="40"/>
      <c r="L13" s="87"/>
    </row>
    <row r="14" spans="1:22" ht="7" customHeight="1" x14ac:dyDescent="0.15">
      <c r="A14" s="88"/>
      <c r="B14" s="33"/>
      <c r="C14" s="33"/>
      <c r="D14" s="33"/>
      <c r="E14" s="33"/>
      <c r="F14" s="32"/>
      <c r="G14" s="33"/>
      <c r="H14" s="33"/>
      <c r="I14" s="33"/>
      <c r="J14" s="33"/>
      <c r="K14" s="33"/>
      <c r="L14" s="84"/>
    </row>
    <row r="15" spans="1:22" x14ac:dyDescent="0.15">
      <c r="A15" s="89" t="s">
        <v>57</v>
      </c>
      <c r="B15" t="s">
        <v>58</v>
      </c>
      <c r="C15" s="39" t="s">
        <v>36</v>
      </c>
      <c r="D15" s="66"/>
      <c r="E15" s="61"/>
      <c r="F15" s="34"/>
      <c r="G15" t="s">
        <v>60</v>
      </c>
      <c r="H15" s="39" t="s">
        <v>36</v>
      </c>
      <c r="I15" s="188"/>
      <c r="J15" s="188"/>
      <c r="K15" s="188"/>
      <c r="L15" s="84"/>
    </row>
    <row r="16" spans="1:22" x14ac:dyDescent="0.15">
      <c r="A16" s="81"/>
      <c r="B16" t="s">
        <v>59</v>
      </c>
      <c r="C16" s="39" t="s">
        <v>36</v>
      </c>
      <c r="D16" s="103"/>
      <c r="E16" s="61"/>
      <c r="F16" s="34"/>
      <c r="G16" t="s">
        <v>61</v>
      </c>
      <c r="H16" s="39" t="s">
        <v>36</v>
      </c>
      <c r="I16" s="188"/>
      <c r="J16" s="188"/>
      <c r="K16" s="188"/>
      <c r="L16" s="84"/>
    </row>
    <row r="17" spans="1:20" x14ac:dyDescent="0.15">
      <c r="A17" s="81"/>
      <c r="E17" s="35"/>
      <c r="F17" s="34"/>
      <c r="G17" t="s">
        <v>62</v>
      </c>
      <c r="H17" s="39" t="s">
        <v>36</v>
      </c>
      <c r="I17" s="187"/>
      <c r="J17" s="188"/>
      <c r="K17" s="188"/>
      <c r="L17" s="84"/>
    </row>
    <row r="18" spans="1:20" x14ac:dyDescent="0.15">
      <c r="A18" s="81"/>
      <c r="E18" s="35"/>
      <c r="F18" s="34"/>
      <c r="L18" s="84"/>
      <c r="P18" s="191">
        <f>'[1]BLANKO ISIAN'!L70</f>
        <v>0</v>
      </c>
      <c r="Q18" s="186"/>
      <c r="R18" s="186"/>
      <c r="S18" s="186"/>
      <c r="T18" s="186"/>
    </row>
    <row r="19" spans="1:20" x14ac:dyDescent="0.15">
      <c r="A19" s="81"/>
      <c r="B19" s="39"/>
      <c r="C19" s="67"/>
      <c r="D19" s="67"/>
      <c r="E19" s="38"/>
      <c r="F19" s="34"/>
      <c r="G19" s="39"/>
      <c r="H19" s="67"/>
      <c r="I19" s="67"/>
      <c r="J19" s="67"/>
      <c r="K19" s="67"/>
      <c r="L19" s="82"/>
      <c r="P19" s="186" t="str">
        <f>'[1]BLANKO ISIAN'!$C$55</f>
        <v>Pengadilan Agama Penajam</v>
      </c>
      <c r="Q19" s="186"/>
      <c r="R19" s="186"/>
      <c r="S19" s="186"/>
      <c r="T19" s="186"/>
    </row>
    <row r="20" spans="1:20" x14ac:dyDescent="0.15">
      <c r="A20" s="81"/>
      <c r="B20" s="39"/>
      <c r="C20" s="67"/>
      <c r="D20" s="67"/>
      <c r="E20" s="38"/>
      <c r="F20" s="34"/>
      <c r="G20" s="39"/>
      <c r="H20" s="67"/>
      <c r="I20" s="67"/>
      <c r="J20" s="67"/>
      <c r="K20" s="67"/>
      <c r="L20" s="82"/>
      <c r="P20" s="37"/>
      <c r="Q20" s="37"/>
      <c r="R20" s="37"/>
      <c r="S20" s="37"/>
      <c r="T20" s="37"/>
    </row>
    <row r="21" spans="1:20" x14ac:dyDescent="0.15">
      <c r="A21" s="81"/>
      <c r="E21" s="35"/>
      <c r="F21" s="34"/>
      <c r="L21" s="84"/>
      <c r="P21" s="39"/>
      <c r="Q21" s="39"/>
      <c r="R21" s="39"/>
      <c r="S21" s="39"/>
      <c r="T21" s="39"/>
    </row>
    <row r="22" spans="1:20" x14ac:dyDescent="0.15">
      <c r="A22" s="81"/>
      <c r="E22" s="35"/>
      <c r="F22" s="34"/>
      <c r="L22" s="84"/>
    </row>
    <row r="23" spans="1:20" x14ac:dyDescent="0.15">
      <c r="A23" s="81"/>
      <c r="E23" s="35"/>
      <c r="F23" s="34"/>
      <c r="L23" s="84"/>
      <c r="P23" s="193">
        <f>'[1]BLANKO ISIAN'!L71</f>
        <v>0</v>
      </c>
      <c r="Q23" s="193"/>
      <c r="R23" s="193"/>
      <c r="S23" s="193"/>
      <c r="T23" s="193"/>
    </row>
    <row r="24" spans="1:20" x14ac:dyDescent="0.15">
      <c r="A24" s="81"/>
      <c r="B24" s="62"/>
      <c r="C24" s="68"/>
      <c r="D24" s="68"/>
      <c r="E24" s="63"/>
      <c r="F24" s="34"/>
      <c r="G24" s="62"/>
      <c r="H24" s="68"/>
      <c r="I24" s="68"/>
      <c r="J24" s="68"/>
      <c r="K24" s="68"/>
      <c r="L24" s="84"/>
      <c r="P24" s="193">
        <f>'[1]BLANKO ISIAN'!L72</f>
        <v>0</v>
      </c>
      <c r="Q24" s="193"/>
      <c r="R24" s="193"/>
      <c r="S24" s="193"/>
      <c r="T24" s="193"/>
    </row>
    <row r="25" spans="1:20" x14ac:dyDescent="0.15">
      <c r="A25" s="81"/>
      <c r="B25" s="40"/>
      <c r="C25" s="70" t="s">
        <v>89</v>
      </c>
      <c r="D25" s="69"/>
      <c r="E25" s="41"/>
      <c r="F25" s="34"/>
      <c r="G25" s="40"/>
      <c r="H25" s="70" t="s">
        <v>89</v>
      </c>
      <c r="I25" s="69"/>
      <c r="J25" s="69"/>
      <c r="K25" s="69"/>
      <c r="L25" s="84"/>
    </row>
    <row r="26" spans="1:20" ht="7" customHeight="1" x14ac:dyDescent="0.15">
      <c r="A26" s="90"/>
      <c r="B26" s="43"/>
      <c r="C26" s="43"/>
      <c r="D26" s="43"/>
      <c r="E26" s="43"/>
      <c r="F26" s="42"/>
      <c r="G26" s="43"/>
      <c r="H26" s="43"/>
      <c r="I26" s="43"/>
      <c r="J26" s="43"/>
      <c r="K26" s="43"/>
      <c r="L26" s="91"/>
    </row>
    <row r="27" spans="1:20" ht="7" customHeight="1" x14ac:dyDescent="0.15">
      <c r="A27" s="81"/>
      <c r="F27" s="34"/>
      <c r="L27" s="84"/>
    </row>
    <row r="28" spans="1:20" x14ac:dyDescent="0.15">
      <c r="A28" s="89" t="s">
        <v>71</v>
      </c>
      <c r="B28" t="s">
        <v>58</v>
      </c>
      <c r="C28" s="39" t="s">
        <v>36</v>
      </c>
      <c r="D28" s="37"/>
      <c r="E28" s="39"/>
      <c r="F28" s="34"/>
      <c r="G28" t="s">
        <v>60</v>
      </c>
      <c r="H28" s="39" t="s">
        <v>36</v>
      </c>
      <c r="L28" s="84"/>
    </row>
    <row r="29" spans="1:20" x14ac:dyDescent="0.15">
      <c r="A29" s="81"/>
      <c r="B29" t="s">
        <v>59</v>
      </c>
      <c r="C29" s="39" t="s">
        <v>36</v>
      </c>
      <c r="D29" s="101"/>
      <c r="E29" s="39"/>
      <c r="F29" s="34"/>
      <c r="G29" t="s">
        <v>61</v>
      </c>
      <c r="H29" s="39" t="s">
        <v>36</v>
      </c>
      <c r="L29" s="84"/>
    </row>
    <row r="30" spans="1:20" x14ac:dyDescent="0.15">
      <c r="A30" s="81"/>
      <c r="F30" s="34"/>
      <c r="G30" t="s">
        <v>62</v>
      </c>
      <c r="H30" s="39" t="s">
        <v>36</v>
      </c>
      <c r="I30" s="105"/>
      <c r="L30" s="84"/>
    </row>
    <row r="31" spans="1:20" x14ac:dyDescent="0.15">
      <c r="A31" s="81"/>
      <c r="C31" s="39"/>
      <c r="F31" s="34"/>
      <c r="L31" s="84"/>
    </row>
    <row r="32" spans="1:20" x14ac:dyDescent="0.15">
      <c r="A32" s="81"/>
      <c r="B32" s="39"/>
      <c r="C32" s="74"/>
      <c r="D32" s="74"/>
      <c r="E32" s="39"/>
      <c r="F32" s="34"/>
      <c r="G32" s="39"/>
      <c r="H32" s="74"/>
      <c r="I32" s="74"/>
      <c r="J32" s="74"/>
      <c r="K32" s="74"/>
      <c r="L32" s="84"/>
    </row>
    <row r="33" spans="1:12" x14ac:dyDescent="0.15">
      <c r="A33" s="81"/>
      <c r="B33" s="39"/>
      <c r="C33" s="39"/>
      <c r="D33" s="39"/>
      <c r="E33" s="39"/>
      <c r="F33" s="34"/>
      <c r="G33" s="39"/>
      <c r="H33" s="39"/>
      <c r="I33" s="39"/>
      <c r="J33" s="39"/>
      <c r="K33" s="39"/>
      <c r="L33" s="84"/>
    </row>
    <row r="34" spans="1:12" x14ac:dyDescent="0.15">
      <c r="A34" s="81"/>
      <c r="F34" s="34"/>
      <c r="L34" s="84"/>
    </row>
    <row r="35" spans="1:12" x14ac:dyDescent="0.15">
      <c r="A35" s="81"/>
      <c r="B35" s="39"/>
      <c r="C35" s="68"/>
      <c r="D35" s="68"/>
      <c r="E35" s="39"/>
      <c r="F35" s="34"/>
      <c r="G35" s="39"/>
      <c r="H35" s="68"/>
      <c r="I35" s="68"/>
      <c r="J35" s="68"/>
      <c r="K35" s="68"/>
      <c r="L35" s="84"/>
    </row>
    <row r="36" spans="1:12" x14ac:dyDescent="0.15">
      <c r="A36" s="81"/>
      <c r="B36" s="39"/>
      <c r="C36" s="70" t="s">
        <v>89</v>
      </c>
      <c r="D36" s="69"/>
      <c r="E36" s="39"/>
      <c r="F36" s="34"/>
      <c r="G36" s="39"/>
      <c r="H36" s="70" t="s">
        <v>89</v>
      </c>
      <c r="I36" s="69"/>
      <c r="J36" s="70"/>
      <c r="K36" s="69"/>
      <c r="L36" s="84"/>
    </row>
    <row r="37" spans="1:12" ht="7" customHeight="1" x14ac:dyDescent="0.15">
      <c r="A37" s="81"/>
      <c r="F37" s="34"/>
      <c r="L37" s="91"/>
    </row>
    <row r="38" spans="1:12" ht="7" customHeight="1" x14ac:dyDescent="0.15">
      <c r="A38" s="88"/>
      <c r="B38" s="33"/>
      <c r="C38" s="33"/>
      <c r="D38" s="33"/>
      <c r="E38" s="33"/>
      <c r="F38" s="32"/>
      <c r="G38" s="33"/>
      <c r="H38" s="33"/>
      <c r="I38" s="33"/>
      <c r="J38" s="33"/>
      <c r="K38" s="33"/>
      <c r="L38" s="84"/>
    </row>
    <row r="39" spans="1:12" x14ac:dyDescent="0.15">
      <c r="A39" s="89" t="s">
        <v>72</v>
      </c>
      <c r="B39" t="s">
        <v>58</v>
      </c>
      <c r="C39" s="39" t="s">
        <v>36</v>
      </c>
      <c r="F39" s="34"/>
      <c r="G39" t="s">
        <v>60</v>
      </c>
      <c r="H39" s="39" t="s">
        <v>36</v>
      </c>
      <c r="L39" s="84"/>
    </row>
    <row r="40" spans="1:12" x14ac:dyDescent="0.15">
      <c r="A40" s="81"/>
      <c r="B40" t="s">
        <v>59</v>
      </c>
      <c r="C40" s="39" t="s">
        <v>36</v>
      </c>
      <c r="F40" s="34"/>
      <c r="G40" t="s">
        <v>61</v>
      </c>
      <c r="H40" s="39" t="s">
        <v>36</v>
      </c>
      <c r="L40" s="84"/>
    </row>
    <row r="41" spans="1:12" x14ac:dyDescent="0.15">
      <c r="A41" s="81"/>
      <c r="F41" s="34"/>
      <c r="G41" t="s">
        <v>62</v>
      </c>
      <c r="H41" s="39" t="s">
        <v>36</v>
      </c>
      <c r="L41" s="84"/>
    </row>
    <row r="42" spans="1:12" x14ac:dyDescent="0.15">
      <c r="A42" s="81"/>
      <c r="F42" s="34"/>
      <c r="L42" s="84"/>
    </row>
    <row r="43" spans="1:12" x14ac:dyDescent="0.15">
      <c r="A43" s="81"/>
      <c r="B43" s="39"/>
      <c r="C43" s="74"/>
      <c r="D43" s="74"/>
      <c r="E43" s="39"/>
      <c r="F43" s="34"/>
      <c r="G43" s="39"/>
      <c r="H43" s="74"/>
      <c r="I43" s="74"/>
      <c r="J43" s="74"/>
      <c r="K43" s="74"/>
      <c r="L43" s="84"/>
    </row>
    <row r="44" spans="1:12" x14ac:dyDescent="0.15">
      <c r="A44" s="81"/>
      <c r="B44" s="39"/>
      <c r="C44" s="39"/>
      <c r="D44" s="39"/>
      <c r="E44" s="39"/>
      <c r="F44" s="34"/>
      <c r="G44" s="39"/>
      <c r="H44" s="39"/>
      <c r="I44" s="39"/>
      <c r="J44" s="39"/>
      <c r="K44" s="39"/>
      <c r="L44" s="84"/>
    </row>
    <row r="45" spans="1:12" x14ac:dyDescent="0.15">
      <c r="A45" s="81"/>
      <c r="F45" s="34"/>
      <c r="L45" s="84"/>
    </row>
    <row r="46" spans="1:12" x14ac:dyDescent="0.15">
      <c r="A46" s="81"/>
      <c r="B46" s="39"/>
      <c r="C46" s="68"/>
      <c r="D46" s="68"/>
      <c r="E46" s="39"/>
      <c r="F46" s="34"/>
      <c r="G46" s="39"/>
      <c r="H46" s="68"/>
      <c r="I46" s="68"/>
      <c r="J46" s="68"/>
      <c r="K46" s="68"/>
      <c r="L46" s="84"/>
    </row>
    <row r="47" spans="1:12" x14ac:dyDescent="0.15">
      <c r="A47" s="81"/>
      <c r="B47" s="39"/>
      <c r="C47" s="70" t="s">
        <v>89</v>
      </c>
      <c r="D47" s="69"/>
      <c r="E47" s="39"/>
      <c r="F47" s="34"/>
      <c r="G47" s="39"/>
      <c r="H47" s="70" t="s">
        <v>89</v>
      </c>
      <c r="I47" s="69"/>
      <c r="J47" s="70"/>
      <c r="K47" s="69"/>
      <c r="L47" s="84"/>
    </row>
    <row r="48" spans="1:12" ht="7" customHeight="1" x14ac:dyDescent="0.15">
      <c r="A48" s="90"/>
      <c r="B48" s="43"/>
      <c r="C48" s="43"/>
      <c r="D48" s="43"/>
      <c r="E48" s="43"/>
      <c r="F48" s="42"/>
      <c r="G48" s="43"/>
      <c r="H48" s="43"/>
      <c r="I48" s="43"/>
      <c r="J48" s="43"/>
      <c r="K48" s="43"/>
      <c r="L48" s="91"/>
    </row>
    <row r="49" spans="1:12" x14ac:dyDescent="0.15">
      <c r="A49" s="81"/>
      <c r="F49" s="34"/>
      <c r="G49" t="s">
        <v>76</v>
      </c>
      <c r="L49" s="84"/>
    </row>
    <row r="50" spans="1:12" x14ac:dyDescent="0.15">
      <c r="A50" s="89" t="s">
        <v>73</v>
      </c>
      <c r="B50" t="s">
        <v>58</v>
      </c>
      <c r="C50" s="39" t="s">
        <v>36</v>
      </c>
      <c r="D50" s="37" t="str">
        <f>I1</f>
        <v>Penajam</v>
      </c>
      <c r="E50" s="37"/>
      <c r="F50" s="34"/>
      <c r="G50" t="s">
        <v>77</v>
      </c>
      <c r="L50" s="84"/>
    </row>
    <row r="51" spans="1:12" x14ac:dyDescent="0.15">
      <c r="A51" s="81"/>
      <c r="B51" t="s">
        <v>74</v>
      </c>
      <c r="F51" s="34"/>
      <c r="G51" t="s">
        <v>78</v>
      </c>
      <c r="L51" s="84"/>
    </row>
    <row r="52" spans="1:12" x14ac:dyDescent="0.15">
      <c r="A52" s="81"/>
      <c r="B52" t="s">
        <v>94</v>
      </c>
      <c r="C52" t="s">
        <v>36</v>
      </c>
      <c r="D52" s="117"/>
      <c r="F52" s="34"/>
      <c r="G52" t="s">
        <v>79</v>
      </c>
      <c r="L52" s="84"/>
    </row>
    <row r="53" spans="1:12" x14ac:dyDescent="0.15">
      <c r="A53" s="81"/>
      <c r="B53" t="s">
        <v>75</v>
      </c>
      <c r="F53" s="34"/>
      <c r="G53" t="str">
        <f>$B$53</f>
        <v>Pejabat yang memberi perintah:</v>
      </c>
      <c r="L53" s="84"/>
    </row>
    <row r="54" spans="1:12" x14ac:dyDescent="0.15">
      <c r="A54" s="81"/>
      <c r="F54" s="34"/>
      <c r="L54" s="84"/>
    </row>
    <row r="55" spans="1:12" x14ac:dyDescent="0.15">
      <c r="A55" s="81"/>
      <c r="B55" s="191" t="s">
        <v>95</v>
      </c>
      <c r="C55" s="197"/>
      <c r="D55" s="197"/>
      <c r="E55" s="71"/>
      <c r="F55" s="34"/>
      <c r="G55" s="197" t="str">
        <f>$B$55</f>
        <v xml:space="preserve">PEJABAT PEMBUAT KOMITMEN, </v>
      </c>
      <c r="H55" s="197"/>
      <c r="I55" s="197"/>
      <c r="J55" s="197"/>
      <c r="K55" s="197"/>
      <c r="L55" s="84"/>
    </row>
    <row r="56" spans="1:12" x14ac:dyDescent="0.15">
      <c r="A56" s="81"/>
      <c r="B56" s="197" t="str">
        <f>'BLANKO ISIAN'!$C$56</f>
        <v>Pengadilan Agama Penajam</v>
      </c>
      <c r="C56" s="197"/>
      <c r="D56" s="197"/>
      <c r="E56" s="71"/>
      <c r="F56" s="34"/>
      <c r="G56" s="197" t="str">
        <f>$B$56</f>
        <v>Pengadilan Agama Penajam</v>
      </c>
      <c r="H56" s="197"/>
      <c r="I56" s="197"/>
      <c r="J56" s="197"/>
      <c r="K56" s="197"/>
      <c r="L56" s="84"/>
    </row>
    <row r="57" spans="1:12" x14ac:dyDescent="0.15">
      <c r="A57" s="81"/>
      <c r="B57" s="197"/>
      <c r="C57" s="197"/>
      <c r="D57" s="197"/>
      <c r="E57" s="71"/>
      <c r="F57" s="34"/>
      <c r="G57" s="186"/>
      <c r="H57" s="186"/>
      <c r="I57" s="186"/>
      <c r="J57" s="186"/>
      <c r="K57" s="186"/>
      <c r="L57" s="84"/>
    </row>
    <row r="58" spans="1:12" x14ac:dyDescent="0.15">
      <c r="A58" s="81"/>
      <c r="E58" s="35"/>
      <c r="F58" s="34"/>
      <c r="L58" s="84"/>
    </row>
    <row r="59" spans="1:12" x14ac:dyDescent="0.15">
      <c r="A59" s="81"/>
      <c r="E59" s="35"/>
      <c r="F59" s="34"/>
      <c r="L59" s="84"/>
    </row>
    <row r="60" spans="1:12" x14ac:dyDescent="0.15">
      <c r="A60" s="81"/>
      <c r="E60" s="35"/>
      <c r="F60" s="34"/>
      <c r="L60" s="84"/>
    </row>
    <row r="61" spans="1:12" x14ac:dyDescent="0.15">
      <c r="A61" s="81"/>
      <c r="B61" s="195" t="str">
        <f>'BLANKO ISIAN'!$C$62</f>
        <v>Muhammad Zaim Noor, S.H.</v>
      </c>
      <c r="C61" s="195"/>
      <c r="D61" s="195"/>
      <c r="E61" s="72"/>
      <c r="F61" s="34"/>
      <c r="G61" s="195" t="str">
        <f>'BLANKO ISIAN'!$C$62</f>
        <v>Muhammad Zaim Noor, S.H.</v>
      </c>
      <c r="H61" s="195"/>
      <c r="I61" s="195"/>
      <c r="J61" s="195"/>
      <c r="K61" s="195"/>
      <c r="L61" s="84"/>
    </row>
    <row r="62" spans="1:12" x14ac:dyDescent="0.15">
      <c r="A62" s="81"/>
      <c r="B62" s="193" t="str">
        <f>'BLANKO ISIAN'!$C$63</f>
        <v>NIP. 19880202 200805 1 001</v>
      </c>
      <c r="C62" s="193"/>
      <c r="D62" s="193"/>
      <c r="E62" s="73"/>
      <c r="F62" s="34"/>
      <c r="G62" s="193" t="str">
        <f>'BLANKO ISIAN'!$C$63</f>
        <v>NIP. 19880202 200805 1 001</v>
      </c>
      <c r="H62" s="193"/>
      <c r="I62" s="193"/>
      <c r="J62" s="193"/>
      <c r="K62" s="193"/>
      <c r="L62" s="91"/>
    </row>
    <row r="63" spans="1:12" x14ac:dyDescent="0.15">
      <c r="A63" s="92" t="s">
        <v>81</v>
      </c>
      <c r="B63" s="44" t="s">
        <v>80</v>
      </c>
      <c r="C63" s="44"/>
      <c r="D63" s="44"/>
      <c r="E63" s="44"/>
      <c r="F63" s="44"/>
      <c r="G63" s="44"/>
      <c r="H63" s="44"/>
      <c r="I63" s="44"/>
      <c r="J63" s="44"/>
      <c r="K63" s="44"/>
      <c r="L63" s="91"/>
    </row>
    <row r="64" spans="1:12" x14ac:dyDescent="0.15">
      <c r="A64" s="9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94"/>
    </row>
    <row r="65" spans="1:12" x14ac:dyDescent="0.15">
      <c r="A65" s="89" t="s">
        <v>82</v>
      </c>
      <c r="B65" t="s">
        <v>83</v>
      </c>
      <c r="L65" s="84"/>
    </row>
    <row r="66" spans="1:12" ht="40" customHeight="1" thickBot="1" x14ac:dyDescent="0.2">
      <c r="A66" s="95"/>
      <c r="B66" s="196" t="s">
        <v>84</v>
      </c>
      <c r="C66" s="196"/>
      <c r="D66" s="196"/>
      <c r="E66" s="196"/>
      <c r="F66" s="196"/>
      <c r="G66" s="196"/>
      <c r="H66" s="196"/>
      <c r="I66" s="196"/>
      <c r="J66" s="196"/>
      <c r="K66" s="196"/>
      <c r="L66" s="96"/>
    </row>
  </sheetData>
  <mergeCells count="30">
    <mergeCell ref="P18:T18"/>
    <mergeCell ref="P19:T19"/>
    <mergeCell ref="P23:T23"/>
    <mergeCell ref="P24:T24"/>
    <mergeCell ref="B55:D55"/>
    <mergeCell ref="B56:D56"/>
    <mergeCell ref="G55:K55"/>
    <mergeCell ref="G56:K56"/>
    <mergeCell ref="G12:K12"/>
    <mergeCell ref="I15:K15"/>
    <mergeCell ref="I16:K16"/>
    <mergeCell ref="B66:K66"/>
    <mergeCell ref="B62:D62"/>
    <mergeCell ref="G61:K61"/>
    <mergeCell ref="G62:K62"/>
    <mergeCell ref="B57:D57"/>
    <mergeCell ref="B61:D61"/>
    <mergeCell ref="G57:K57"/>
    <mergeCell ref="I3:K3"/>
    <mergeCell ref="I17:K17"/>
    <mergeCell ref="O3:Q3"/>
    <mergeCell ref="I1:K1"/>
    <mergeCell ref="G5:K5"/>
    <mergeCell ref="G6:K6"/>
    <mergeCell ref="G11:K11"/>
    <mergeCell ref="P5:T5"/>
    <mergeCell ref="P6:T6"/>
    <mergeCell ref="P11:T11"/>
    <mergeCell ref="P12:T12"/>
    <mergeCell ref="G10:K10"/>
  </mergeCells>
  <phoneticPr fontId="6" type="noConversion"/>
  <pageMargins left="0.59" right="0.19685039370078741" top="0.39370078740157483" bottom="0.39370078740157483" header="0.51181102362204722" footer="0.51181102362204722"/>
  <pageSetup paperSize="9" scale="96" orientation="portrait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zoomScale="82" zoomScaleNormal="70" workbookViewId="0">
      <selection activeCell="C15" sqref="C15:D15"/>
    </sheetView>
  </sheetViews>
  <sheetFormatPr baseColWidth="10" defaultColWidth="9.1640625" defaultRowHeight="16" x14ac:dyDescent="0.2"/>
  <cols>
    <col min="1" max="1" width="4.6640625" style="25" customWidth="1"/>
    <col min="2" max="2" width="36.6640625" style="25" customWidth="1"/>
    <col min="3" max="4" width="25.6640625" style="25" customWidth="1"/>
    <col min="5" max="6" width="9.1640625" style="25"/>
    <col min="7" max="7" width="22.1640625" style="25" customWidth="1"/>
    <col min="8" max="8" width="18.5" style="25" customWidth="1"/>
    <col min="9" max="9" width="25.5" style="25" customWidth="1"/>
    <col min="10" max="10" width="20.83203125" style="25" customWidth="1"/>
    <col min="11" max="11" width="42.6640625" style="25" customWidth="1"/>
    <col min="12" max="16384" width="9.1640625" style="25"/>
  </cols>
  <sheetData>
    <row r="1" spans="1:11" x14ac:dyDescent="0.2">
      <c r="A1" s="25" t="s">
        <v>39</v>
      </c>
    </row>
    <row r="3" spans="1:11" x14ac:dyDescent="0.2">
      <c r="A3" s="26" t="s">
        <v>40</v>
      </c>
      <c r="B3" s="26" t="s">
        <v>41</v>
      </c>
      <c r="C3" s="26" t="s">
        <v>42</v>
      </c>
      <c r="D3" s="201"/>
      <c r="E3" s="201"/>
    </row>
    <row r="4" spans="1:11" x14ac:dyDescent="0.2">
      <c r="A4" s="45"/>
      <c r="B4" s="46"/>
      <c r="C4" s="46"/>
      <c r="D4" s="46"/>
      <c r="E4" s="47"/>
    </row>
    <row r="5" spans="1:11" x14ac:dyDescent="0.2">
      <c r="A5" s="48">
        <v>1</v>
      </c>
      <c r="B5" s="49" t="s">
        <v>44</v>
      </c>
      <c r="C5" s="50">
        <v>1</v>
      </c>
      <c r="E5" s="51"/>
    </row>
    <row r="6" spans="1:11" x14ac:dyDescent="0.2">
      <c r="A6" s="48"/>
      <c r="B6" s="49"/>
      <c r="E6" s="51"/>
      <c r="G6" s="121" t="s">
        <v>158</v>
      </c>
      <c r="H6" s="53" t="s">
        <v>113</v>
      </c>
      <c r="I6" s="121" t="s">
        <v>54</v>
      </c>
      <c r="J6" s="121" t="s">
        <v>157</v>
      </c>
      <c r="K6" s="121" t="s">
        <v>114</v>
      </c>
    </row>
    <row r="7" spans="1:11" x14ac:dyDescent="0.2">
      <c r="A7" s="48">
        <v>2</v>
      </c>
      <c r="B7" s="49" t="s">
        <v>43</v>
      </c>
      <c r="C7" s="50"/>
      <c r="D7" s="25" t="s">
        <v>237</v>
      </c>
      <c r="E7" s="51"/>
      <c r="G7">
        <v>1</v>
      </c>
      <c r="H7" s="121" t="s">
        <v>199</v>
      </c>
      <c r="I7" s="122" t="s">
        <v>200</v>
      </c>
      <c r="J7" s="121" t="s">
        <v>150</v>
      </c>
      <c r="K7" s="121" t="s">
        <v>161</v>
      </c>
    </row>
    <row r="8" spans="1:11" x14ac:dyDescent="0.2">
      <c r="A8" s="48"/>
      <c r="B8" s="49"/>
      <c r="E8" s="51"/>
      <c r="G8">
        <v>2</v>
      </c>
      <c r="H8" s="121" t="s">
        <v>124</v>
      </c>
      <c r="I8" s="122" t="s">
        <v>159</v>
      </c>
      <c r="J8" s="121" t="s">
        <v>150</v>
      </c>
      <c r="K8" s="121" t="s">
        <v>162</v>
      </c>
    </row>
    <row r="9" spans="1:11" x14ac:dyDescent="0.2">
      <c r="A9" s="48">
        <v>3</v>
      </c>
      <c r="B9" s="49" t="s">
        <v>2</v>
      </c>
      <c r="C9" s="50" t="s">
        <v>238</v>
      </c>
      <c r="E9" s="51"/>
      <c r="G9">
        <v>3</v>
      </c>
      <c r="H9" s="121" t="s">
        <v>134</v>
      </c>
      <c r="I9" s="122" t="s">
        <v>160</v>
      </c>
      <c r="J9" s="121" t="s">
        <v>151</v>
      </c>
      <c r="K9" s="121" t="s">
        <v>163</v>
      </c>
    </row>
    <row r="10" spans="1:11" x14ac:dyDescent="0.2">
      <c r="A10" s="48"/>
      <c r="B10" s="49"/>
      <c r="E10" s="51"/>
      <c r="G10">
        <v>4</v>
      </c>
      <c r="H10" s="121" t="s">
        <v>135</v>
      </c>
      <c r="I10" s="122" t="s">
        <v>175</v>
      </c>
      <c r="J10" s="121" t="s">
        <v>151</v>
      </c>
      <c r="K10" s="121" t="s">
        <v>163</v>
      </c>
    </row>
    <row r="11" spans="1:11" ht="15" customHeight="1" x14ac:dyDescent="0.2">
      <c r="A11" s="52">
        <v>4</v>
      </c>
      <c r="B11" s="53" t="s">
        <v>45</v>
      </c>
      <c r="C11" s="200" t="s">
        <v>102</v>
      </c>
      <c r="D11" s="200"/>
      <c r="E11" s="51"/>
      <c r="G11">
        <v>5</v>
      </c>
      <c r="H11" s="121" t="s">
        <v>125</v>
      </c>
      <c r="I11" s="122" t="s">
        <v>176</v>
      </c>
      <c r="J11" s="121" t="s">
        <v>152</v>
      </c>
      <c r="K11" s="121" t="s">
        <v>164</v>
      </c>
    </row>
    <row r="12" spans="1:11" ht="15" customHeight="1" x14ac:dyDescent="0.2">
      <c r="A12" s="52"/>
      <c r="B12" s="53" t="s">
        <v>112</v>
      </c>
      <c r="C12" s="202" t="s">
        <v>103</v>
      </c>
      <c r="D12" s="200"/>
      <c r="E12" s="51"/>
      <c r="G12">
        <v>6</v>
      </c>
      <c r="H12" s="121" t="s">
        <v>204</v>
      </c>
      <c r="I12" s="122" t="s">
        <v>205</v>
      </c>
      <c r="J12" s="121" t="s">
        <v>150</v>
      </c>
      <c r="K12" s="121" t="s">
        <v>165</v>
      </c>
    </row>
    <row r="13" spans="1:11" ht="15" customHeight="1" x14ac:dyDescent="0.2">
      <c r="A13" s="52"/>
      <c r="B13" s="53" t="s">
        <v>156</v>
      </c>
      <c r="C13" s="27"/>
      <c r="D13" s="27"/>
      <c r="E13" s="51"/>
      <c r="G13">
        <v>7</v>
      </c>
      <c r="H13" s="121" t="s">
        <v>206</v>
      </c>
      <c r="I13" s="122" t="s">
        <v>207</v>
      </c>
      <c r="J13" s="121" t="s">
        <v>152</v>
      </c>
      <c r="K13" s="121" t="s">
        <v>167</v>
      </c>
    </row>
    <row r="14" spans="1:11" ht="25.5" customHeight="1" x14ac:dyDescent="0.2">
      <c r="A14" s="52">
        <v>5</v>
      </c>
      <c r="B14" s="53" t="s">
        <v>85</v>
      </c>
      <c r="C14" s="200" t="s">
        <v>102</v>
      </c>
      <c r="D14" s="200"/>
      <c r="E14" s="51"/>
      <c r="G14">
        <v>8</v>
      </c>
      <c r="H14" s="121" t="s">
        <v>209</v>
      </c>
      <c r="I14" s="122" t="s">
        <v>210</v>
      </c>
      <c r="J14" s="121" t="s">
        <v>152</v>
      </c>
      <c r="K14" s="121" t="s">
        <v>211</v>
      </c>
    </row>
    <row r="15" spans="1:11" ht="30" customHeight="1" x14ac:dyDescent="0.2">
      <c r="A15" s="52"/>
      <c r="B15" s="53"/>
      <c r="C15" s="202" t="s">
        <v>218</v>
      </c>
      <c r="D15" s="200"/>
      <c r="E15" s="51"/>
      <c r="G15">
        <v>9</v>
      </c>
      <c r="H15" s="121" t="s">
        <v>127</v>
      </c>
      <c r="I15" s="122" t="s">
        <v>177</v>
      </c>
      <c r="J15" s="121" t="s">
        <v>153</v>
      </c>
      <c r="K15" s="121" t="s">
        <v>166</v>
      </c>
    </row>
    <row r="16" spans="1:11" ht="15.75" customHeight="1" x14ac:dyDescent="0.2">
      <c r="A16" s="52"/>
      <c r="B16" s="53"/>
      <c r="E16" s="51"/>
      <c r="G16">
        <v>10</v>
      </c>
      <c r="H16" s="121" t="s">
        <v>102</v>
      </c>
      <c r="I16" s="122" t="s">
        <v>178</v>
      </c>
      <c r="J16" s="121" t="s">
        <v>229</v>
      </c>
      <c r="K16" s="121" t="s">
        <v>230</v>
      </c>
    </row>
    <row r="17" spans="1:11" ht="28" x14ac:dyDescent="0.2">
      <c r="A17" s="52">
        <v>6</v>
      </c>
      <c r="B17" s="53" t="s">
        <v>7</v>
      </c>
      <c r="C17" s="202" t="s">
        <v>108</v>
      </c>
      <c r="D17" s="200"/>
      <c r="E17" s="51"/>
      <c r="G17">
        <v>11</v>
      </c>
      <c r="H17" s="121" t="s">
        <v>126</v>
      </c>
      <c r="I17" s="122" t="s">
        <v>179</v>
      </c>
      <c r="J17" s="121" t="s">
        <v>152</v>
      </c>
      <c r="K17" s="121" t="s">
        <v>168</v>
      </c>
    </row>
    <row r="18" spans="1:11" x14ac:dyDescent="0.2">
      <c r="A18" s="52"/>
      <c r="B18" s="53"/>
      <c r="E18" s="51"/>
      <c r="G18">
        <v>12</v>
      </c>
      <c r="H18" s="121" t="s">
        <v>128</v>
      </c>
      <c r="I18" s="122" t="s">
        <v>180</v>
      </c>
      <c r="J18" s="121" t="s">
        <v>108</v>
      </c>
      <c r="K18" s="121" t="s">
        <v>169</v>
      </c>
    </row>
    <row r="19" spans="1:11" x14ac:dyDescent="0.2">
      <c r="A19" s="48">
        <v>7</v>
      </c>
      <c r="B19" s="49" t="s">
        <v>9</v>
      </c>
      <c r="C19" s="198" t="s">
        <v>132</v>
      </c>
      <c r="D19" s="198"/>
      <c r="E19" s="51"/>
      <c r="G19">
        <v>13</v>
      </c>
      <c r="H19" s="121" t="s">
        <v>214</v>
      </c>
      <c r="I19" s="122" t="s">
        <v>181</v>
      </c>
      <c r="J19" s="121" t="s">
        <v>151</v>
      </c>
      <c r="K19" s="121" t="s">
        <v>170</v>
      </c>
    </row>
    <row r="20" spans="1:11" x14ac:dyDescent="0.2">
      <c r="A20" s="48"/>
      <c r="B20" s="49"/>
      <c r="C20" s="199"/>
      <c r="D20" s="199"/>
      <c r="E20" s="51"/>
      <c r="G20">
        <v>14</v>
      </c>
      <c r="H20" s="121" t="s">
        <v>133</v>
      </c>
      <c r="I20" s="122" t="s">
        <v>182</v>
      </c>
      <c r="J20" s="121" t="s">
        <v>151</v>
      </c>
      <c r="K20" s="121" t="s">
        <v>170</v>
      </c>
    </row>
    <row r="21" spans="1:11" ht="28" x14ac:dyDescent="0.2">
      <c r="A21" s="52">
        <v>8</v>
      </c>
      <c r="B21" s="53" t="s">
        <v>11</v>
      </c>
      <c r="C21" s="203" t="s">
        <v>104</v>
      </c>
      <c r="D21" s="203"/>
      <c r="E21" s="51"/>
      <c r="G21">
        <v>15</v>
      </c>
      <c r="H21" s="121" t="s">
        <v>129</v>
      </c>
      <c r="I21" s="122" t="s">
        <v>183</v>
      </c>
      <c r="J21" s="121" t="s">
        <v>154</v>
      </c>
      <c r="K21" s="121" t="s">
        <v>198</v>
      </c>
    </row>
    <row r="22" spans="1:11" x14ac:dyDescent="0.2">
      <c r="A22" s="52"/>
      <c r="B22" s="53"/>
      <c r="E22" s="51"/>
      <c r="G22">
        <v>16</v>
      </c>
      <c r="H22" s="121" t="s">
        <v>130</v>
      </c>
      <c r="I22" s="122" t="s">
        <v>184</v>
      </c>
      <c r="J22" s="121" t="s">
        <v>155</v>
      </c>
      <c r="K22" s="121" t="s">
        <v>171</v>
      </c>
    </row>
    <row r="23" spans="1:11" x14ac:dyDescent="0.2">
      <c r="A23" s="48">
        <v>9</v>
      </c>
      <c r="B23" s="49" t="s">
        <v>14</v>
      </c>
      <c r="C23" s="203" t="s">
        <v>231</v>
      </c>
      <c r="D23" s="203"/>
      <c r="E23" s="51"/>
      <c r="G23">
        <v>17</v>
      </c>
      <c r="H23" s="121" t="s">
        <v>131</v>
      </c>
      <c r="I23" s="122" t="s">
        <v>185</v>
      </c>
      <c r="J23" s="121" t="s">
        <v>155</v>
      </c>
      <c r="K23" s="121" t="s">
        <v>171</v>
      </c>
    </row>
    <row r="24" spans="1:11" x14ac:dyDescent="0.2">
      <c r="A24" s="48"/>
      <c r="B24" s="49"/>
      <c r="C24" s="119"/>
      <c r="D24" s="119"/>
      <c r="E24" s="51"/>
      <c r="G24">
        <v>18</v>
      </c>
      <c r="H24" s="121" t="s">
        <v>219</v>
      </c>
      <c r="I24" s="122" t="s">
        <v>173</v>
      </c>
      <c r="J24" s="122" t="s">
        <v>173</v>
      </c>
      <c r="K24" s="121" t="s">
        <v>197</v>
      </c>
    </row>
    <row r="25" spans="1:11" x14ac:dyDescent="0.2">
      <c r="A25" s="48"/>
      <c r="B25" s="49"/>
      <c r="E25" s="51"/>
      <c r="G25">
        <v>19</v>
      </c>
      <c r="H25" s="121" t="s">
        <v>172</v>
      </c>
      <c r="I25" s="122" t="s">
        <v>173</v>
      </c>
      <c r="J25" s="122" t="s">
        <v>173</v>
      </c>
      <c r="K25" s="121" t="s">
        <v>197</v>
      </c>
    </row>
    <row r="26" spans="1:11" ht="27" customHeight="1" x14ac:dyDescent="0.2">
      <c r="A26" s="48">
        <v>10</v>
      </c>
      <c r="B26" s="49" t="s">
        <v>46</v>
      </c>
      <c r="C26" s="205" t="s">
        <v>232</v>
      </c>
      <c r="D26" s="205"/>
      <c r="E26" s="51"/>
      <c r="G26">
        <v>20</v>
      </c>
      <c r="H26" s="121" t="s">
        <v>188</v>
      </c>
      <c r="I26" s="122" t="s">
        <v>173</v>
      </c>
      <c r="J26" s="122" t="s">
        <v>173</v>
      </c>
      <c r="K26" s="121" t="s">
        <v>189</v>
      </c>
    </row>
    <row r="27" spans="1:11" x14ac:dyDescent="0.2">
      <c r="A27" s="48"/>
      <c r="B27" s="49"/>
      <c r="E27" s="51"/>
      <c r="G27" s="25">
        <v>21</v>
      </c>
      <c r="H27" s="121" t="s">
        <v>215</v>
      </c>
      <c r="I27" s="122" t="s">
        <v>173</v>
      </c>
      <c r="J27" s="122" t="s">
        <v>173</v>
      </c>
      <c r="K27" s="121" t="s">
        <v>174</v>
      </c>
    </row>
    <row r="28" spans="1:11" x14ac:dyDescent="0.2">
      <c r="A28" s="48">
        <v>11</v>
      </c>
      <c r="B28" s="49" t="s">
        <v>17</v>
      </c>
      <c r="C28" s="203" t="s">
        <v>109</v>
      </c>
      <c r="D28" s="203"/>
      <c r="E28" s="51"/>
      <c r="G28" s="25">
        <v>22</v>
      </c>
      <c r="H28" s="121" t="s">
        <v>216</v>
      </c>
      <c r="I28" s="122" t="s">
        <v>218</v>
      </c>
      <c r="J28" s="121" t="s">
        <v>108</v>
      </c>
      <c r="K28" s="121" t="s">
        <v>132</v>
      </c>
    </row>
    <row r="29" spans="1:11" x14ac:dyDescent="0.2">
      <c r="A29" s="48"/>
      <c r="B29" s="49"/>
      <c r="E29" s="51"/>
      <c r="G29" s="25">
        <v>23</v>
      </c>
      <c r="H29" s="121" t="s">
        <v>220</v>
      </c>
      <c r="I29" s="122" t="s">
        <v>226</v>
      </c>
      <c r="J29" s="122" t="s">
        <v>227</v>
      </c>
      <c r="K29" s="122" t="s">
        <v>228</v>
      </c>
    </row>
    <row r="30" spans="1:11" x14ac:dyDescent="0.2">
      <c r="A30" s="48">
        <v>12</v>
      </c>
      <c r="B30" s="49" t="s">
        <v>20</v>
      </c>
      <c r="C30" s="203" t="s">
        <v>97</v>
      </c>
      <c r="D30" s="203"/>
      <c r="E30" s="51"/>
      <c r="G30" s="25">
        <v>24</v>
      </c>
      <c r="H30" s="121" t="s">
        <v>222</v>
      </c>
      <c r="I30" s="122" t="s">
        <v>173</v>
      </c>
      <c r="J30" s="122" t="s">
        <v>173</v>
      </c>
      <c r="K30" s="121" t="s">
        <v>221</v>
      </c>
    </row>
    <row r="31" spans="1:11" x14ac:dyDescent="0.2">
      <c r="A31" s="48"/>
      <c r="B31" s="49"/>
      <c r="E31" s="51"/>
      <c r="G31" s="25">
        <v>25</v>
      </c>
      <c r="H31" s="121" t="s">
        <v>223</v>
      </c>
      <c r="I31" s="122" t="s">
        <v>224</v>
      </c>
      <c r="J31" s="121" t="s">
        <v>108</v>
      </c>
      <c r="K31" s="121" t="s">
        <v>225</v>
      </c>
    </row>
    <row r="32" spans="1:11" x14ac:dyDescent="0.2">
      <c r="A32" s="48">
        <v>13</v>
      </c>
      <c r="B32" s="49" t="s">
        <v>21</v>
      </c>
      <c r="C32" s="203" t="s">
        <v>235</v>
      </c>
      <c r="D32" s="203"/>
      <c r="E32" s="51"/>
    </row>
    <row r="33" spans="1:5" x14ac:dyDescent="0.2">
      <c r="A33" s="48"/>
      <c r="B33" s="49"/>
      <c r="E33" s="51"/>
    </row>
    <row r="34" spans="1:5" x14ac:dyDescent="0.2">
      <c r="A34" s="48">
        <v>14</v>
      </c>
      <c r="B34" s="49" t="s">
        <v>22</v>
      </c>
      <c r="C34" s="119">
        <v>2</v>
      </c>
      <c r="E34" s="51"/>
    </row>
    <row r="35" spans="1:5" x14ac:dyDescent="0.2">
      <c r="A35" s="48"/>
      <c r="B35" s="49"/>
      <c r="E35" s="51"/>
    </row>
    <row r="36" spans="1:5" x14ac:dyDescent="0.2">
      <c r="A36" s="48">
        <v>15</v>
      </c>
      <c r="B36" s="49" t="s">
        <v>47</v>
      </c>
      <c r="C36" s="116" t="s">
        <v>233</v>
      </c>
      <c r="D36" s="120"/>
      <c r="E36" s="51"/>
    </row>
    <row r="37" spans="1:5" x14ac:dyDescent="0.2">
      <c r="A37" s="48"/>
      <c r="B37" s="49"/>
      <c r="E37" s="51"/>
    </row>
    <row r="38" spans="1:5" x14ac:dyDescent="0.2">
      <c r="A38" s="48">
        <v>16</v>
      </c>
      <c r="B38" s="49" t="s">
        <v>48</v>
      </c>
      <c r="C38" s="116" t="s">
        <v>234</v>
      </c>
      <c r="D38" s="120"/>
      <c r="E38" s="51"/>
    </row>
    <row r="39" spans="1:5" x14ac:dyDescent="0.2">
      <c r="A39" s="48"/>
      <c r="E39" s="51"/>
    </row>
    <row r="40" spans="1:5" x14ac:dyDescent="0.2">
      <c r="A40" s="48">
        <v>17</v>
      </c>
      <c r="B40" s="26" t="s">
        <v>49</v>
      </c>
      <c r="C40" s="26" t="s">
        <v>50</v>
      </c>
      <c r="D40" s="26" t="s">
        <v>51</v>
      </c>
      <c r="E40" s="51"/>
    </row>
    <row r="41" spans="1:5" x14ac:dyDescent="0.2">
      <c r="A41" s="48"/>
      <c r="B41" s="29"/>
      <c r="C41" s="29"/>
      <c r="D41" s="29"/>
      <c r="E41" s="51"/>
    </row>
    <row r="42" spans="1:5" x14ac:dyDescent="0.2">
      <c r="A42" s="48" t="s">
        <v>52</v>
      </c>
      <c r="B42" s="30"/>
      <c r="C42" s="30"/>
      <c r="D42" s="30"/>
      <c r="E42" s="51"/>
    </row>
    <row r="43" spans="1:5" x14ac:dyDescent="0.2">
      <c r="A43" s="48" t="s">
        <v>52</v>
      </c>
      <c r="B43" s="30"/>
      <c r="C43" s="30"/>
      <c r="D43" s="30"/>
      <c r="E43" s="51"/>
    </row>
    <row r="44" spans="1:5" x14ac:dyDescent="0.2">
      <c r="A44" s="48" t="s">
        <v>52</v>
      </c>
      <c r="B44" s="30"/>
      <c r="C44" s="30"/>
      <c r="D44" s="30"/>
      <c r="E44" s="51"/>
    </row>
    <row r="45" spans="1:5" x14ac:dyDescent="0.2">
      <c r="A45" s="48" t="s">
        <v>52</v>
      </c>
      <c r="B45" s="30"/>
      <c r="C45" s="30"/>
      <c r="D45" s="30"/>
      <c r="E45" s="51"/>
    </row>
    <row r="46" spans="1:5" x14ac:dyDescent="0.2">
      <c r="A46" s="48" t="s">
        <v>52</v>
      </c>
      <c r="B46" s="31"/>
      <c r="C46" s="31"/>
      <c r="D46" s="31"/>
      <c r="E46" s="51"/>
    </row>
    <row r="47" spans="1:5" x14ac:dyDescent="0.2">
      <c r="A47" s="48"/>
      <c r="B47" s="27"/>
      <c r="C47" s="27"/>
      <c r="D47" s="27"/>
      <c r="E47" s="51"/>
    </row>
    <row r="48" spans="1:5" x14ac:dyDescent="0.2">
      <c r="A48" s="52">
        <v>18</v>
      </c>
      <c r="B48" s="53" t="s">
        <v>53</v>
      </c>
      <c r="E48" s="51"/>
    </row>
    <row r="49" spans="1:5" x14ac:dyDescent="0.2">
      <c r="A49" s="48" t="s">
        <v>52</v>
      </c>
      <c r="B49" s="53" t="s">
        <v>32</v>
      </c>
      <c r="C49" s="50" t="s">
        <v>98</v>
      </c>
      <c r="E49" s="51"/>
    </row>
    <row r="50" spans="1:5" x14ac:dyDescent="0.2">
      <c r="A50" s="48" t="s">
        <v>52</v>
      </c>
      <c r="B50" s="53" t="s">
        <v>33</v>
      </c>
      <c r="C50" s="118">
        <v>524113</v>
      </c>
      <c r="E50" s="51"/>
    </row>
    <row r="51" spans="1:5" x14ac:dyDescent="0.2">
      <c r="A51" s="48"/>
      <c r="B51" s="49"/>
      <c r="E51" s="51"/>
    </row>
    <row r="52" spans="1:5" x14ac:dyDescent="0.2">
      <c r="A52" s="48">
        <v>19</v>
      </c>
      <c r="B52" s="49" t="s">
        <v>37</v>
      </c>
      <c r="C52" s="50" t="s">
        <v>97</v>
      </c>
      <c r="E52" s="51"/>
    </row>
    <row r="53" spans="1:5" x14ac:dyDescent="0.2">
      <c r="A53" s="48"/>
      <c r="B53" s="49" t="s">
        <v>38</v>
      </c>
      <c r="C53" s="116" t="s">
        <v>236</v>
      </c>
      <c r="E53" s="51"/>
    </row>
    <row r="54" spans="1:5" x14ac:dyDescent="0.2">
      <c r="A54" s="48"/>
      <c r="B54" s="49"/>
      <c r="E54" s="51"/>
    </row>
    <row r="55" spans="1:5" x14ac:dyDescent="0.2">
      <c r="A55" s="48">
        <v>20</v>
      </c>
      <c r="B55" s="49" t="s">
        <v>55</v>
      </c>
      <c r="C55" s="206" t="s">
        <v>90</v>
      </c>
      <c r="D55" s="207"/>
      <c r="E55" s="51"/>
    </row>
    <row r="56" spans="1:5" x14ac:dyDescent="0.2">
      <c r="A56" s="48"/>
      <c r="B56" s="49"/>
      <c r="C56" s="203" t="s">
        <v>99</v>
      </c>
      <c r="D56" s="203"/>
      <c r="E56" s="51"/>
    </row>
    <row r="57" spans="1:5" x14ac:dyDescent="0.2">
      <c r="A57" s="48"/>
      <c r="B57" s="49"/>
      <c r="C57" s="204"/>
      <c r="D57" s="204"/>
      <c r="E57" s="51"/>
    </row>
    <row r="58" spans="1:5" x14ac:dyDescent="0.2">
      <c r="A58" s="48"/>
      <c r="B58" s="49"/>
      <c r="E58" s="51"/>
    </row>
    <row r="59" spans="1:5" x14ac:dyDescent="0.2">
      <c r="A59" s="52">
        <v>21</v>
      </c>
      <c r="B59" s="49" t="s">
        <v>86</v>
      </c>
      <c r="C59" s="200"/>
      <c r="D59" s="200"/>
      <c r="E59" s="51"/>
    </row>
    <row r="60" spans="1:5" x14ac:dyDescent="0.2">
      <c r="A60" s="54"/>
      <c r="B60" s="49" t="s">
        <v>54</v>
      </c>
      <c r="C60" s="202"/>
      <c r="D60" s="200"/>
      <c r="E60" s="51"/>
    </row>
    <row r="61" spans="1:5" x14ac:dyDescent="0.2">
      <c r="A61" s="54"/>
      <c r="B61" s="49"/>
      <c r="E61" s="51"/>
    </row>
    <row r="62" spans="1:5" x14ac:dyDescent="0.2">
      <c r="A62" s="52">
        <v>22</v>
      </c>
      <c r="B62" s="49" t="s">
        <v>88</v>
      </c>
      <c r="C62" s="200" t="s">
        <v>102</v>
      </c>
      <c r="D62" s="200"/>
      <c r="E62" s="51"/>
    </row>
    <row r="63" spans="1:5" ht="15.75" customHeight="1" x14ac:dyDescent="0.2">
      <c r="A63" s="54"/>
      <c r="B63" s="49" t="s">
        <v>54</v>
      </c>
      <c r="C63" s="202" t="s">
        <v>103</v>
      </c>
      <c r="D63" s="200"/>
      <c r="E63" s="51"/>
    </row>
    <row r="64" spans="1:5" x14ac:dyDescent="0.2">
      <c r="A64" s="54"/>
      <c r="B64" s="49"/>
      <c r="E64" s="51"/>
    </row>
    <row r="65" spans="1:5" x14ac:dyDescent="0.2">
      <c r="A65" s="52">
        <v>23</v>
      </c>
      <c r="B65" s="53" t="s">
        <v>65</v>
      </c>
      <c r="C65" s="50" t="s">
        <v>105</v>
      </c>
      <c r="E65" s="51"/>
    </row>
    <row r="66" spans="1:5" x14ac:dyDescent="0.2">
      <c r="A66" s="54"/>
      <c r="B66" s="49"/>
      <c r="E66" s="51"/>
    </row>
    <row r="67" spans="1:5" x14ac:dyDescent="0.2">
      <c r="A67" s="52">
        <v>24</v>
      </c>
      <c r="B67" s="49" t="s">
        <v>62</v>
      </c>
      <c r="C67" s="116" t="s">
        <v>106</v>
      </c>
      <c r="E67" s="51"/>
    </row>
    <row r="68" spans="1:5" x14ac:dyDescent="0.2">
      <c r="A68" s="54"/>
      <c r="B68" s="49"/>
      <c r="E68" s="51"/>
    </row>
    <row r="69" spans="1:5" x14ac:dyDescent="0.2">
      <c r="A69" s="52">
        <v>25</v>
      </c>
      <c r="B69" s="49" t="s">
        <v>66</v>
      </c>
      <c r="C69" s="50" t="s">
        <v>105</v>
      </c>
      <c r="E69" s="51"/>
    </row>
    <row r="70" spans="1:5" x14ac:dyDescent="0.2">
      <c r="A70" s="54"/>
      <c r="B70" s="49"/>
      <c r="E70" s="51"/>
    </row>
    <row r="71" spans="1:5" x14ac:dyDescent="0.2">
      <c r="A71" s="52">
        <v>26</v>
      </c>
      <c r="B71" s="49" t="s">
        <v>67</v>
      </c>
      <c r="C71" s="50" t="s">
        <v>97</v>
      </c>
      <c r="E71" s="51"/>
    </row>
    <row r="72" spans="1:5" x14ac:dyDescent="0.2">
      <c r="A72" s="54"/>
      <c r="B72" s="49"/>
      <c r="E72" s="51"/>
    </row>
    <row r="73" spans="1:5" x14ac:dyDescent="0.2">
      <c r="A73" s="52">
        <v>27</v>
      </c>
      <c r="B73" s="49" t="s">
        <v>62</v>
      </c>
      <c r="C73" s="116" t="s">
        <v>107</v>
      </c>
      <c r="E73" s="51"/>
    </row>
    <row r="74" spans="1:5" x14ac:dyDescent="0.2">
      <c r="A74" s="54"/>
      <c r="B74" s="49"/>
      <c r="E74" s="51"/>
    </row>
    <row r="75" spans="1:5" ht="28" x14ac:dyDescent="0.2">
      <c r="A75" s="52">
        <v>28</v>
      </c>
      <c r="B75" s="55" t="s">
        <v>68</v>
      </c>
      <c r="C75" s="204"/>
      <c r="D75" s="204"/>
      <c r="E75" s="51"/>
    </row>
    <row r="76" spans="1:5" x14ac:dyDescent="0.2">
      <c r="A76" s="54"/>
      <c r="B76" s="56" t="s">
        <v>69</v>
      </c>
      <c r="C76" s="204"/>
      <c r="D76" s="204"/>
      <c r="E76" s="51"/>
    </row>
    <row r="77" spans="1:5" x14ac:dyDescent="0.2">
      <c r="A77" s="54"/>
      <c r="B77" s="49"/>
      <c r="E77" s="51"/>
    </row>
    <row r="78" spans="1:5" x14ac:dyDescent="0.2">
      <c r="A78" s="48">
        <v>29</v>
      </c>
      <c r="B78" s="49" t="s">
        <v>70</v>
      </c>
      <c r="C78" s="204"/>
      <c r="D78" s="204"/>
      <c r="E78" s="51"/>
    </row>
    <row r="79" spans="1:5" x14ac:dyDescent="0.2">
      <c r="A79" s="48"/>
      <c r="B79" s="57" t="s">
        <v>54</v>
      </c>
      <c r="C79" s="204"/>
      <c r="D79" s="204"/>
      <c r="E79" s="51"/>
    </row>
    <row r="80" spans="1:5" x14ac:dyDescent="0.2">
      <c r="A80" s="48"/>
      <c r="E80" s="51"/>
    </row>
    <row r="81" spans="1:5" x14ac:dyDescent="0.2">
      <c r="A81" s="48"/>
      <c r="E81" s="51"/>
    </row>
    <row r="82" spans="1:5" x14ac:dyDescent="0.2">
      <c r="A82" s="58"/>
      <c r="B82" s="59"/>
      <c r="C82" s="59"/>
      <c r="D82" s="59"/>
      <c r="E82" s="60"/>
    </row>
    <row r="83" spans="1:5" x14ac:dyDescent="0.2">
      <c r="B83" s="49"/>
    </row>
    <row r="84" spans="1:5" x14ac:dyDescent="0.2">
      <c r="B84" s="53" t="s">
        <v>91</v>
      </c>
      <c r="C84" s="50"/>
    </row>
    <row r="85" spans="1:5" x14ac:dyDescent="0.2">
      <c r="B85" s="49"/>
    </row>
    <row r="86" spans="1:5" x14ac:dyDescent="0.2">
      <c r="B86" s="49" t="s">
        <v>62</v>
      </c>
      <c r="C86" s="100"/>
    </row>
    <row r="87" spans="1:5" x14ac:dyDescent="0.2">
      <c r="B87" s="49"/>
    </row>
    <row r="88" spans="1:5" x14ac:dyDescent="0.2">
      <c r="B88" s="49" t="s">
        <v>92</v>
      </c>
      <c r="C88" s="50"/>
    </row>
    <row r="89" spans="1:5" x14ac:dyDescent="0.2">
      <c r="B89" s="49"/>
    </row>
    <row r="90" spans="1:5" x14ac:dyDescent="0.2">
      <c r="B90" s="49" t="s">
        <v>67</v>
      </c>
      <c r="C90" s="50"/>
    </row>
    <row r="91" spans="1:5" x14ac:dyDescent="0.2">
      <c r="B91" s="49"/>
    </row>
    <row r="92" spans="1:5" x14ac:dyDescent="0.2">
      <c r="B92" s="49" t="s">
        <v>62</v>
      </c>
      <c r="C92" s="100"/>
    </row>
    <row r="93" spans="1:5" x14ac:dyDescent="0.2">
      <c r="B93" s="49"/>
    </row>
  </sheetData>
  <mergeCells count="24">
    <mergeCell ref="C78:D78"/>
    <mergeCell ref="C79:D79"/>
    <mergeCell ref="C55:D55"/>
    <mergeCell ref="C56:D56"/>
    <mergeCell ref="C57:D57"/>
    <mergeCell ref="C75:D75"/>
    <mergeCell ref="C59:D59"/>
    <mergeCell ref="C60:D60"/>
    <mergeCell ref="C62:D62"/>
    <mergeCell ref="C63:D63"/>
    <mergeCell ref="C30:D30"/>
    <mergeCell ref="C76:D76"/>
    <mergeCell ref="C32:D32"/>
    <mergeCell ref="C21:D21"/>
    <mergeCell ref="C23:D23"/>
    <mergeCell ref="C26:D26"/>
    <mergeCell ref="C28:D28"/>
    <mergeCell ref="C19:D20"/>
    <mergeCell ref="C11:D11"/>
    <mergeCell ref="D3:E3"/>
    <mergeCell ref="C14:D14"/>
    <mergeCell ref="C17:D17"/>
    <mergeCell ref="C12:D12"/>
    <mergeCell ref="C15:D15"/>
  </mergeCells>
  <phoneticPr fontId="6" type="noConversion"/>
  <pageMargins left="0.75" right="0.25" top="1" bottom="1" header="0.5" footer="0.5"/>
  <pageSetup paperSize="5" orientation="portrait" horizontalDpi="4294967293" verticalDpi="598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0ED129-4720-438A-99ED-D78C7001AA7A}">
          <x14:formula1>
            <xm:f>Data!$A$4:$A$21</xm:f>
          </x14:formula1>
          <xm:sqref>C13</xm:sqref>
        </x14:dataValidation>
        <x14:dataValidation type="list" allowBlank="1" showInputMessage="1" showErrorMessage="1" xr:uid="{E5EFE2B9-53BF-474A-91DE-7C377CEA7E7B}">
          <x14:formula1>
            <xm:f>'master-pegawai'!$C$2:$C$30</xm:f>
          </x14:formula1>
          <xm:sqref>C14:D14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54898F-A189-4ABF-8D5F-1959561B90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Data</vt:lpstr>
      <vt:lpstr>master-pegawai</vt:lpstr>
      <vt:lpstr>SPPD LMBAR 1</vt:lpstr>
      <vt:lpstr>SPPD LEMBAR 2</vt:lpstr>
      <vt:lpstr>BLANKO ISIAN</vt:lpstr>
      <vt:lpstr>ID</vt:lpstr>
      <vt:lpstr>'SPPD LEMBAR 2'!Print_Area</vt:lpstr>
      <vt:lpstr>'SPPD LMBAR 1'!Print_Area</vt:lpstr>
    </vt:vector>
  </TitlesOfParts>
  <Company>ptasamarinda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</dc:creator>
  <cp:lastModifiedBy>Muhardiansyah Kuba</cp:lastModifiedBy>
  <cp:lastPrinted>2026-01-08T00:15:24Z</cp:lastPrinted>
  <dcterms:created xsi:type="dcterms:W3CDTF">2009-12-14T07:05:27Z</dcterms:created>
  <dcterms:modified xsi:type="dcterms:W3CDTF">2026-01-09T02:40:07Z</dcterms:modified>
</cp:coreProperties>
</file>